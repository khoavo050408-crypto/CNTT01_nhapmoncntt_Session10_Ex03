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Dan" sheetId="1" state="visible" r:id="rId3"/>
    <sheet name="GiaCuoc" sheetId="2" state="visible" r:id="rId4"/>
    <sheet name="VanDon" sheetId="3" state="visible" r:id="rId5"/>
    <sheet name="KiemThu" sheetId="4" state="visible" r:id="rId6"/>
    <sheet name="KPI" sheetId="5" state="visible" r:id="rId7"/>
  </sheets>
  <definedNames>
    <definedName function="false" hidden="true" localSheetId="1" name="_xlnm._FilterDatabase" vbProcedure="false">GiaCuoc!$A$1:$C$501</definedName>
    <definedName function="false" hidden="true" localSheetId="2" name="_xlnm._FilterDatabase" vbProcedure="false">VanDon!$A$1:$D$501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Công thức khóa vùng bằng $A$2:$C$501; IFERROR báo 'Kiểm tra mã' khi không tìm thấy.</t>
        </r>
      </text>
    </comment>
  </commentList>
</comments>
</file>

<file path=xl/sharedStrings.xml><?xml version="1.0" encoding="utf-8"?>
<sst xmlns="http://schemas.openxmlformats.org/spreadsheetml/2006/main" count="2560" uniqueCount="580">
  <si>
    <t xml:space="preserve">FastMove – Tự động tra giá cước theo Mã vận đơn</t>
  </si>
  <si>
    <t xml:space="preserve">Sheet GiaCuoc</t>
  </si>
  <si>
    <t xml:space="preserve">Bảng tra (500 mã). Cột A = Mã vận đơn, B = Khu vực, C = Giá cước (VND). Mã vận đơn luôn ở cột đầu tiên.</t>
  </si>
  <si>
    <t xml:space="preserve">Sheet VanDon</t>
  </si>
  <si>
    <t xml:space="preserve">Bảng cần điền (500 dòng). Nhập tay cột A–C (Mã vận đơn, Shipper, Trạng thái). Cột D tự tính giá cước, không gõ đè.</t>
  </si>
  <si>
    <t xml:space="preserve">Sheet KiemThu</t>
  </si>
  <si>
    <t xml:space="preserve">6 ca kiểm thử xử lý lỗi N/A (khoảng trắng thừa, ký tự CHAR(160), chữ thường, mã không tồn tại, ô trống).</t>
  </si>
  <si>
    <t xml:space="preserve">Sheet KPI</t>
  </si>
  <si>
    <t xml:space="preserve">Số liệu giao đúng hạn theo tuần và Bar Chart highlight tuần đầu tiên vượt mục tiêu.</t>
  </si>
  <si>
    <t xml:space="preserve">Công thức VanDon!D2</t>
  </si>
  <si>
    <t xml:space="preserve">Gõ vào D2: =IFERROR(VLOOKUP(TRIM(CLEAN(SUBSTITUTE(A2,UNICHAR(160),""))),GiaCuoc!$A$2:$C$501,3,FALSE),"Kiểm tra mã")  → kéo xuống D501.</t>
  </si>
  <si>
    <t xml:space="preserve">Vì sao có dấu $</t>
  </si>
  <si>
    <t xml:space="preserve">$A$2:$C$501 khóa vùng tra cứu nên kéo xuống 500 dòng vẫn tra đúng bảng. A2 không có $ nên tự nhảy A3, A4…</t>
  </si>
  <si>
    <t xml:space="preserve">Số dòng cần rà soát</t>
  </si>
  <si>
    <t xml:space="preserve">Quy tắc dữ liệu</t>
  </si>
  <si>
    <t xml:space="preserve">Không gộp ô (Merge Cell) · 1 dòng tiêu đề ở dòng 1 · mỗi ô 1 giá trị · không dòng/cột trống giữa bảng · mỗi cột 1 kiểu dữ liệu.</t>
  </si>
  <si>
    <t xml:space="preserve">Giả định</t>
  </si>
  <si>
    <t xml:space="preserve">Dữ liệu giá cước, mã vận đơn, KPI là số liệu MINH HỌA do người soạn tạo; màu thương hiệu giả định cam FF6A00 + xám 333333. Thay bằng dữ liệu thật của FastMove.</t>
  </si>
  <si>
    <t xml:space="preserve">Ví dụ dòng chuẩn (VanDon dòng 2): mã FMxxxx – tên shipper – trạng thái; giá cước tự hiện ở cột D.</t>
  </si>
  <si>
    <t xml:space="preserve">Mã vận đơn</t>
  </si>
  <si>
    <t xml:space="preserve">Khu vực</t>
  </si>
  <si>
    <t xml:space="preserve">Giá cước (VND)</t>
  </si>
  <si>
    <t xml:space="preserve">FM0001</t>
  </si>
  <si>
    <t xml:space="preserve">Liên tỉnh gần</t>
  </si>
  <si>
    <t xml:space="preserve">FM0002</t>
  </si>
  <si>
    <t xml:space="preserve">Ngoại thành</t>
  </si>
  <si>
    <t xml:space="preserve">FM0003</t>
  </si>
  <si>
    <t xml:space="preserve">Liên tỉnh xa</t>
  </si>
  <si>
    <t xml:space="preserve">FM0004</t>
  </si>
  <si>
    <t xml:space="preserve">Nội thành</t>
  </si>
  <si>
    <t xml:space="preserve">FM0005</t>
  </si>
  <si>
    <t xml:space="preserve">FM0006</t>
  </si>
  <si>
    <t xml:space="preserve">FM0007</t>
  </si>
  <si>
    <t xml:space="preserve">FM0008</t>
  </si>
  <si>
    <t xml:space="preserve">FM0009</t>
  </si>
  <si>
    <t xml:space="preserve">FM0010</t>
  </si>
  <si>
    <t xml:space="preserve">FM0011</t>
  </si>
  <si>
    <t xml:space="preserve">FM0012</t>
  </si>
  <si>
    <t xml:space="preserve">FM0013</t>
  </si>
  <si>
    <t xml:space="preserve">FM0014</t>
  </si>
  <si>
    <t xml:space="preserve">FM0015</t>
  </si>
  <si>
    <t xml:space="preserve">FM0016</t>
  </si>
  <si>
    <t xml:space="preserve">FM0017</t>
  </si>
  <si>
    <t xml:space="preserve">FM0018</t>
  </si>
  <si>
    <t xml:space="preserve">FM0019</t>
  </si>
  <si>
    <t xml:space="preserve">FM0020</t>
  </si>
  <si>
    <t xml:space="preserve">FM0021</t>
  </si>
  <si>
    <t xml:space="preserve">FM0022</t>
  </si>
  <si>
    <t xml:space="preserve">FM0023</t>
  </si>
  <si>
    <t xml:space="preserve">FM0024</t>
  </si>
  <si>
    <t xml:space="preserve">FM0025</t>
  </si>
  <si>
    <t xml:space="preserve">FM0026</t>
  </si>
  <si>
    <t xml:space="preserve">FM0027</t>
  </si>
  <si>
    <t xml:space="preserve">FM0028</t>
  </si>
  <si>
    <t xml:space="preserve">FM0029</t>
  </si>
  <si>
    <t xml:space="preserve">FM0030</t>
  </si>
  <si>
    <t xml:space="preserve">FM0031</t>
  </si>
  <si>
    <t xml:space="preserve">FM0032</t>
  </si>
  <si>
    <t xml:space="preserve">FM0033</t>
  </si>
  <si>
    <t xml:space="preserve">FM0034</t>
  </si>
  <si>
    <t xml:space="preserve">FM0035</t>
  </si>
  <si>
    <t xml:space="preserve">FM0036</t>
  </si>
  <si>
    <t xml:space="preserve">FM0037</t>
  </si>
  <si>
    <t xml:space="preserve">FM0038</t>
  </si>
  <si>
    <t xml:space="preserve">FM0039</t>
  </si>
  <si>
    <t xml:space="preserve">FM0040</t>
  </si>
  <si>
    <t xml:space="preserve">FM0041</t>
  </si>
  <si>
    <t xml:space="preserve">FM0042</t>
  </si>
  <si>
    <t xml:space="preserve">FM0043</t>
  </si>
  <si>
    <t xml:space="preserve">FM0044</t>
  </si>
  <si>
    <t xml:space="preserve">FM0045</t>
  </si>
  <si>
    <t xml:space="preserve">FM0046</t>
  </si>
  <si>
    <t xml:space="preserve">FM0047</t>
  </si>
  <si>
    <t xml:space="preserve">FM0048</t>
  </si>
  <si>
    <t xml:space="preserve">FM0049</t>
  </si>
  <si>
    <t xml:space="preserve">FM0050</t>
  </si>
  <si>
    <t xml:space="preserve">FM0051</t>
  </si>
  <si>
    <t xml:space="preserve">FM0052</t>
  </si>
  <si>
    <t xml:space="preserve">FM0053</t>
  </si>
  <si>
    <t xml:space="preserve">FM0054</t>
  </si>
  <si>
    <t xml:space="preserve">FM0055</t>
  </si>
  <si>
    <t xml:space="preserve">FM0056</t>
  </si>
  <si>
    <t xml:space="preserve">FM0057</t>
  </si>
  <si>
    <t xml:space="preserve">FM0058</t>
  </si>
  <si>
    <t xml:space="preserve">FM0059</t>
  </si>
  <si>
    <t xml:space="preserve">FM0060</t>
  </si>
  <si>
    <t xml:space="preserve">FM0061</t>
  </si>
  <si>
    <t xml:space="preserve">FM0062</t>
  </si>
  <si>
    <t xml:space="preserve">FM0063</t>
  </si>
  <si>
    <t xml:space="preserve">FM0064</t>
  </si>
  <si>
    <t xml:space="preserve">FM0065</t>
  </si>
  <si>
    <t xml:space="preserve">FM0066</t>
  </si>
  <si>
    <t xml:space="preserve">FM0067</t>
  </si>
  <si>
    <t xml:space="preserve">FM0068</t>
  </si>
  <si>
    <t xml:space="preserve">FM0069</t>
  </si>
  <si>
    <t xml:space="preserve">FM0070</t>
  </si>
  <si>
    <t xml:space="preserve">FM0071</t>
  </si>
  <si>
    <t xml:space="preserve">FM0072</t>
  </si>
  <si>
    <t xml:space="preserve">FM0073</t>
  </si>
  <si>
    <t xml:space="preserve">FM0074</t>
  </si>
  <si>
    <t xml:space="preserve">FM0075</t>
  </si>
  <si>
    <t xml:space="preserve">FM0076</t>
  </si>
  <si>
    <t xml:space="preserve">FM0077</t>
  </si>
  <si>
    <t xml:space="preserve">FM0078</t>
  </si>
  <si>
    <t xml:space="preserve">FM0079</t>
  </si>
  <si>
    <t xml:space="preserve">FM0080</t>
  </si>
  <si>
    <t xml:space="preserve">FM0081</t>
  </si>
  <si>
    <t xml:space="preserve">FM0082</t>
  </si>
  <si>
    <t xml:space="preserve">FM0083</t>
  </si>
  <si>
    <t xml:space="preserve">FM0084</t>
  </si>
  <si>
    <t xml:space="preserve">FM0085</t>
  </si>
  <si>
    <t xml:space="preserve">FM0086</t>
  </si>
  <si>
    <t xml:space="preserve">FM0087</t>
  </si>
  <si>
    <t xml:space="preserve">FM0088</t>
  </si>
  <si>
    <t xml:space="preserve">FM0089</t>
  </si>
  <si>
    <t xml:space="preserve">FM0090</t>
  </si>
  <si>
    <t xml:space="preserve">FM0091</t>
  </si>
  <si>
    <t xml:space="preserve">FM0092</t>
  </si>
  <si>
    <t xml:space="preserve">FM0093</t>
  </si>
  <si>
    <t xml:space="preserve">FM0094</t>
  </si>
  <si>
    <t xml:space="preserve">FM0095</t>
  </si>
  <si>
    <t xml:space="preserve">FM0096</t>
  </si>
  <si>
    <t xml:space="preserve">FM0097</t>
  </si>
  <si>
    <t xml:space="preserve">FM0098</t>
  </si>
  <si>
    <t xml:space="preserve">FM0099</t>
  </si>
  <si>
    <t xml:space="preserve">FM0100</t>
  </si>
  <si>
    <t xml:space="preserve">FM0101</t>
  </si>
  <si>
    <t xml:space="preserve">FM0102</t>
  </si>
  <si>
    <t xml:space="preserve">FM0103</t>
  </si>
  <si>
    <t xml:space="preserve">FM0104</t>
  </si>
  <si>
    <t xml:space="preserve">FM0105</t>
  </si>
  <si>
    <t xml:space="preserve">FM0106</t>
  </si>
  <si>
    <t xml:space="preserve">FM0107</t>
  </si>
  <si>
    <t xml:space="preserve">FM0108</t>
  </si>
  <si>
    <t xml:space="preserve">FM0109</t>
  </si>
  <si>
    <t xml:space="preserve">FM0110</t>
  </si>
  <si>
    <t xml:space="preserve">FM0111</t>
  </si>
  <si>
    <t xml:space="preserve">FM0112</t>
  </si>
  <si>
    <t xml:space="preserve">FM0113</t>
  </si>
  <si>
    <t xml:space="preserve">FM0114</t>
  </si>
  <si>
    <t xml:space="preserve">FM0115</t>
  </si>
  <si>
    <t xml:space="preserve">FM0116</t>
  </si>
  <si>
    <t xml:space="preserve">FM0117</t>
  </si>
  <si>
    <t xml:space="preserve">FM0118</t>
  </si>
  <si>
    <t xml:space="preserve">FM0119</t>
  </si>
  <si>
    <t xml:space="preserve">FM0120</t>
  </si>
  <si>
    <t xml:space="preserve">FM0121</t>
  </si>
  <si>
    <t xml:space="preserve">FM0122</t>
  </si>
  <si>
    <t xml:space="preserve">FM0123</t>
  </si>
  <si>
    <t xml:space="preserve">FM0124</t>
  </si>
  <si>
    <t xml:space="preserve">FM0125</t>
  </si>
  <si>
    <t xml:space="preserve">FM0126</t>
  </si>
  <si>
    <t xml:space="preserve">FM0127</t>
  </si>
  <si>
    <t xml:space="preserve">FM0128</t>
  </si>
  <si>
    <t xml:space="preserve">FM0129</t>
  </si>
  <si>
    <t xml:space="preserve">FM0130</t>
  </si>
  <si>
    <t xml:space="preserve">FM0131</t>
  </si>
  <si>
    <t xml:space="preserve">FM0132</t>
  </si>
  <si>
    <t xml:space="preserve">FM0133</t>
  </si>
  <si>
    <t xml:space="preserve">FM0134</t>
  </si>
  <si>
    <t xml:space="preserve">FM0135</t>
  </si>
  <si>
    <t xml:space="preserve">FM0136</t>
  </si>
  <si>
    <t xml:space="preserve">FM0137</t>
  </si>
  <si>
    <t xml:space="preserve">FM0138</t>
  </si>
  <si>
    <t xml:space="preserve">FM0139</t>
  </si>
  <si>
    <t xml:space="preserve">FM0140</t>
  </si>
  <si>
    <t xml:space="preserve">FM0141</t>
  </si>
  <si>
    <t xml:space="preserve">FM0142</t>
  </si>
  <si>
    <t xml:space="preserve">FM0143</t>
  </si>
  <si>
    <t xml:space="preserve">FM0144</t>
  </si>
  <si>
    <t xml:space="preserve">FM0145</t>
  </si>
  <si>
    <t xml:space="preserve">FM0146</t>
  </si>
  <si>
    <t xml:space="preserve">FM0147</t>
  </si>
  <si>
    <t xml:space="preserve">FM0148</t>
  </si>
  <si>
    <t xml:space="preserve">FM0149</t>
  </si>
  <si>
    <t xml:space="preserve">FM0150</t>
  </si>
  <si>
    <t xml:space="preserve">FM0151</t>
  </si>
  <si>
    <t xml:space="preserve">FM0152</t>
  </si>
  <si>
    <t xml:space="preserve">FM0153</t>
  </si>
  <si>
    <t xml:space="preserve">FM0154</t>
  </si>
  <si>
    <t xml:space="preserve">FM0155</t>
  </si>
  <si>
    <t xml:space="preserve">FM0156</t>
  </si>
  <si>
    <t xml:space="preserve">FM0157</t>
  </si>
  <si>
    <t xml:space="preserve">FM0158</t>
  </si>
  <si>
    <t xml:space="preserve">FM0159</t>
  </si>
  <si>
    <t xml:space="preserve">FM0160</t>
  </si>
  <si>
    <t xml:space="preserve">FM0161</t>
  </si>
  <si>
    <t xml:space="preserve">FM0162</t>
  </si>
  <si>
    <t xml:space="preserve">FM0163</t>
  </si>
  <si>
    <t xml:space="preserve">FM0164</t>
  </si>
  <si>
    <t xml:space="preserve">FM0165</t>
  </si>
  <si>
    <t xml:space="preserve">FM0166</t>
  </si>
  <si>
    <t xml:space="preserve">FM0167</t>
  </si>
  <si>
    <t xml:space="preserve">FM0168</t>
  </si>
  <si>
    <t xml:space="preserve">FM0169</t>
  </si>
  <si>
    <t xml:space="preserve">FM0170</t>
  </si>
  <si>
    <t xml:space="preserve">FM0171</t>
  </si>
  <si>
    <t xml:space="preserve">FM0172</t>
  </si>
  <si>
    <t xml:space="preserve">FM0173</t>
  </si>
  <si>
    <t xml:space="preserve">FM0174</t>
  </si>
  <si>
    <t xml:space="preserve">FM0175</t>
  </si>
  <si>
    <t xml:space="preserve">FM0176</t>
  </si>
  <si>
    <t xml:space="preserve">FM0177</t>
  </si>
  <si>
    <t xml:space="preserve">FM0178</t>
  </si>
  <si>
    <t xml:space="preserve">FM0179</t>
  </si>
  <si>
    <t xml:space="preserve">FM0180</t>
  </si>
  <si>
    <t xml:space="preserve">FM0181</t>
  </si>
  <si>
    <t xml:space="preserve">FM0182</t>
  </si>
  <si>
    <t xml:space="preserve">FM0183</t>
  </si>
  <si>
    <t xml:space="preserve">FM0184</t>
  </si>
  <si>
    <t xml:space="preserve">FM0185</t>
  </si>
  <si>
    <t xml:space="preserve">FM0186</t>
  </si>
  <si>
    <t xml:space="preserve">FM0187</t>
  </si>
  <si>
    <t xml:space="preserve">FM0188</t>
  </si>
  <si>
    <t xml:space="preserve">FM0189</t>
  </si>
  <si>
    <t xml:space="preserve">FM0190</t>
  </si>
  <si>
    <t xml:space="preserve">FM0191</t>
  </si>
  <si>
    <t xml:space="preserve">FM0192</t>
  </si>
  <si>
    <t xml:space="preserve">FM0193</t>
  </si>
  <si>
    <t xml:space="preserve">FM0194</t>
  </si>
  <si>
    <t xml:space="preserve">FM0195</t>
  </si>
  <si>
    <t xml:space="preserve">FM0196</t>
  </si>
  <si>
    <t xml:space="preserve">FM0197</t>
  </si>
  <si>
    <t xml:space="preserve">FM0198</t>
  </si>
  <si>
    <t xml:space="preserve">FM0199</t>
  </si>
  <si>
    <t xml:space="preserve">FM0200</t>
  </si>
  <si>
    <t xml:space="preserve">FM0201</t>
  </si>
  <si>
    <t xml:space="preserve">FM0202</t>
  </si>
  <si>
    <t xml:space="preserve">FM0203</t>
  </si>
  <si>
    <t xml:space="preserve">FM0204</t>
  </si>
  <si>
    <t xml:space="preserve">FM0205</t>
  </si>
  <si>
    <t xml:space="preserve">FM0206</t>
  </si>
  <si>
    <t xml:space="preserve">FM0207</t>
  </si>
  <si>
    <t xml:space="preserve">FM0208</t>
  </si>
  <si>
    <t xml:space="preserve">FM0209</t>
  </si>
  <si>
    <t xml:space="preserve">FM0210</t>
  </si>
  <si>
    <t xml:space="preserve">FM0211</t>
  </si>
  <si>
    <t xml:space="preserve">FM0212</t>
  </si>
  <si>
    <t xml:space="preserve">FM0213</t>
  </si>
  <si>
    <t xml:space="preserve">FM0214</t>
  </si>
  <si>
    <t xml:space="preserve">FM0215</t>
  </si>
  <si>
    <t xml:space="preserve">FM0216</t>
  </si>
  <si>
    <t xml:space="preserve">FM0217</t>
  </si>
  <si>
    <t xml:space="preserve">FM0218</t>
  </si>
  <si>
    <t xml:space="preserve">FM0219</t>
  </si>
  <si>
    <t xml:space="preserve">FM0220</t>
  </si>
  <si>
    <t xml:space="preserve">FM0221</t>
  </si>
  <si>
    <t xml:space="preserve">FM0222</t>
  </si>
  <si>
    <t xml:space="preserve">FM0223</t>
  </si>
  <si>
    <t xml:space="preserve">FM0224</t>
  </si>
  <si>
    <t xml:space="preserve">FM0225</t>
  </si>
  <si>
    <t xml:space="preserve">FM0226</t>
  </si>
  <si>
    <t xml:space="preserve">FM0227</t>
  </si>
  <si>
    <t xml:space="preserve">FM0228</t>
  </si>
  <si>
    <t xml:space="preserve">FM0229</t>
  </si>
  <si>
    <t xml:space="preserve">FM0230</t>
  </si>
  <si>
    <t xml:space="preserve">FM0231</t>
  </si>
  <si>
    <t xml:space="preserve">FM0232</t>
  </si>
  <si>
    <t xml:space="preserve">FM0233</t>
  </si>
  <si>
    <t xml:space="preserve">FM0234</t>
  </si>
  <si>
    <t xml:space="preserve">FM0235</t>
  </si>
  <si>
    <t xml:space="preserve">FM0236</t>
  </si>
  <si>
    <t xml:space="preserve">FM0237</t>
  </si>
  <si>
    <t xml:space="preserve">FM0238</t>
  </si>
  <si>
    <t xml:space="preserve">FM0239</t>
  </si>
  <si>
    <t xml:space="preserve">FM0240</t>
  </si>
  <si>
    <t xml:space="preserve">FM0241</t>
  </si>
  <si>
    <t xml:space="preserve">FM0242</t>
  </si>
  <si>
    <t xml:space="preserve">FM0243</t>
  </si>
  <si>
    <t xml:space="preserve">FM0244</t>
  </si>
  <si>
    <t xml:space="preserve">FM0245</t>
  </si>
  <si>
    <t xml:space="preserve">FM0246</t>
  </si>
  <si>
    <t xml:space="preserve">FM0247</t>
  </si>
  <si>
    <t xml:space="preserve">FM0248</t>
  </si>
  <si>
    <t xml:space="preserve">FM0249</t>
  </si>
  <si>
    <t xml:space="preserve">FM0250</t>
  </si>
  <si>
    <t xml:space="preserve">FM0251</t>
  </si>
  <si>
    <t xml:space="preserve">FM0252</t>
  </si>
  <si>
    <t xml:space="preserve">FM0253</t>
  </si>
  <si>
    <t xml:space="preserve">FM0254</t>
  </si>
  <si>
    <t xml:space="preserve">FM0255</t>
  </si>
  <si>
    <t xml:space="preserve">FM0256</t>
  </si>
  <si>
    <t xml:space="preserve">FM0257</t>
  </si>
  <si>
    <t xml:space="preserve">FM0258</t>
  </si>
  <si>
    <t xml:space="preserve">FM0259</t>
  </si>
  <si>
    <t xml:space="preserve">FM0260</t>
  </si>
  <si>
    <t xml:space="preserve">FM0261</t>
  </si>
  <si>
    <t xml:space="preserve">FM0262</t>
  </si>
  <si>
    <t xml:space="preserve">FM0263</t>
  </si>
  <si>
    <t xml:space="preserve">FM0264</t>
  </si>
  <si>
    <t xml:space="preserve">FM0265</t>
  </si>
  <si>
    <t xml:space="preserve">FM0266</t>
  </si>
  <si>
    <t xml:space="preserve">FM0267</t>
  </si>
  <si>
    <t xml:space="preserve">FM0268</t>
  </si>
  <si>
    <t xml:space="preserve">FM0269</t>
  </si>
  <si>
    <t xml:space="preserve">FM0270</t>
  </si>
  <si>
    <t xml:space="preserve">FM0271</t>
  </si>
  <si>
    <t xml:space="preserve">FM0272</t>
  </si>
  <si>
    <t xml:space="preserve">FM0273</t>
  </si>
  <si>
    <t xml:space="preserve">FM0274</t>
  </si>
  <si>
    <t xml:space="preserve">FM0275</t>
  </si>
  <si>
    <t xml:space="preserve">FM0276</t>
  </si>
  <si>
    <t xml:space="preserve">FM0277</t>
  </si>
  <si>
    <t xml:space="preserve">FM0278</t>
  </si>
  <si>
    <t xml:space="preserve">FM0279</t>
  </si>
  <si>
    <t xml:space="preserve">FM0280</t>
  </si>
  <si>
    <t xml:space="preserve">FM0281</t>
  </si>
  <si>
    <t xml:space="preserve">FM0282</t>
  </si>
  <si>
    <t xml:space="preserve">FM0283</t>
  </si>
  <si>
    <t xml:space="preserve">FM0284</t>
  </si>
  <si>
    <t xml:space="preserve">FM0285</t>
  </si>
  <si>
    <t xml:space="preserve">FM0286</t>
  </si>
  <si>
    <t xml:space="preserve">FM0287</t>
  </si>
  <si>
    <t xml:space="preserve">FM0288</t>
  </si>
  <si>
    <t xml:space="preserve">FM0289</t>
  </si>
  <si>
    <t xml:space="preserve">FM0290</t>
  </si>
  <si>
    <t xml:space="preserve">FM0291</t>
  </si>
  <si>
    <t xml:space="preserve">FM0292</t>
  </si>
  <si>
    <t xml:space="preserve">FM0293</t>
  </si>
  <si>
    <t xml:space="preserve">FM0294</t>
  </si>
  <si>
    <t xml:space="preserve">FM0295</t>
  </si>
  <si>
    <t xml:space="preserve">FM0296</t>
  </si>
  <si>
    <t xml:space="preserve">FM0297</t>
  </si>
  <si>
    <t xml:space="preserve">FM0298</t>
  </si>
  <si>
    <t xml:space="preserve">FM0299</t>
  </si>
  <si>
    <t xml:space="preserve">FM0300</t>
  </si>
  <si>
    <t xml:space="preserve">FM0301</t>
  </si>
  <si>
    <t xml:space="preserve">FM0302</t>
  </si>
  <si>
    <t xml:space="preserve">FM0303</t>
  </si>
  <si>
    <t xml:space="preserve">FM0304</t>
  </si>
  <si>
    <t xml:space="preserve">FM0305</t>
  </si>
  <si>
    <t xml:space="preserve">FM0306</t>
  </si>
  <si>
    <t xml:space="preserve">FM0307</t>
  </si>
  <si>
    <t xml:space="preserve">FM0308</t>
  </si>
  <si>
    <t xml:space="preserve">FM0309</t>
  </si>
  <si>
    <t xml:space="preserve">FM0310</t>
  </si>
  <si>
    <t xml:space="preserve">FM0311</t>
  </si>
  <si>
    <t xml:space="preserve">FM0312</t>
  </si>
  <si>
    <t xml:space="preserve">FM0313</t>
  </si>
  <si>
    <t xml:space="preserve">FM0314</t>
  </si>
  <si>
    <t xml:space="preserve">FM0315</t>
  </si>
  <si>
    <t xml:space="preserve">FM0316</t>
  </si>
  <si>
    <t xml:space="preserve">FM0317</t>
  </si>
  <si>
    <t xml:space="preserve">FM0318</t>
  </si>
  <si>
    <t xml:space="preserve">FM0319</t>
  </si>
  <si>
    <t xml:space="preserve">FM0320</t>
  </si>
  <si>
    <t xml:space="preserve">FM0321</t>
  </si>
  <si>
    <t xml:space="preserve">FM0322</t>
  </si>
  <si>
    <t xml:space="preserve">FM0323</t>
  </si>
  <si>
    <t xml:space="preserve">FM0324</t>
  </si>
  <si>
    <t xml:space="preserve">FM0325</t>
  </si>
  <si>
    <t xml:space="preserve">FM0326</t>
  </si>
  <si>
    <t xml:space="preserve">FM0327</t>
  </si>
  <si>
    <t xml:space="preserve">FM0328</t>
  </si>
  <si>
    <t xml:space="preserve">FM0329</t>
  </si>
  <si>
    <t xml:space="preserve">FM0330</t>
  </si>
  <si>
    <t xml:space="preserve">FM0331</t>
  </si>
  <si>
    <t xml:space="preserve">FM0332</t>
  </si>
  <si>
    <t xml:space="preserve">FM0333</t>
  </si>
  <si>
    <t xml:space="preserve">FM0334</t>
  </si>
  <si>
    <t xml:space="preserve">FM0335</t>
  </si>
  <si>
    <t xml:space="preserve">FM0336</t>
  </si>
  <si>
    <t xml:space="preserve">FM0337</t>
  </si>
  <si>
    <t xml:space="preserve">FM0338</t>
  </si>
  <si>
    <t xml:space="preserve">FM0339</t>
  </si>
  <si>
    <t xml:space="preserve">FM0340</t>
  </si>
  <si>
    <t xml:space="preserve">FM0341</t>
  </si>
  <si>
    <t xml:space="preserve">FM0342</t>
  </si>
  <si>
    <t xml:space="preserve">FM0343</t>
  </si>
  <si>
    <t xml:space="preserve">FM0344</t>
  </si>
  <si>
    <t xml:space="preserve">FM0345</t>
  </si>
  <si>
    <t xml:space="preserve">FM0346</t>
  </si>
  <si>
    <t xml:space="preserve">FM0347</t>
  </si>
  <si>
    <t xml:space="preserve">FM0348</t>
  </si>
  <si>
    <t xml:space="preserve">FM0349</t>
  </si>
  <si>
    <t xml:space="preserve">FM0350</t>
  </si>
  <si>
    <t xml:space="preserve">FM0351</t>
  </si>
  <si>
    <t xml:space="preserve">FM0352</t>
  </si>
  <si>
    <t xml:space="preserve">FM0353</t>
  </si>
  <si>
    <t xml:space="preserve">FM0354</t>
  </si>
  <si>
    <t xml:space="preserve">FM0355</t>
  </si>
  <si>
    <t xml:space="preserve">FM0356</t>
  </si>
  <si>
    <t xml:space="preserve">FM0357</t>
  </si>
  <si>
    <t xml:space="preserve">FM0358</t>
  </si>
  <si>
    <t xml:space="preserve">FM0359</t>
  </si>
  <si>
    <t xml:space="preserve">FM0360</t>
  </si>
  <si>
    <t xml:space="preserve">FM0361</t>
  </si>
  <si>
    <t xml:space="preserve">FM0362</t>
  </si>
  <si>
    <t xml:space="preserve">FM0363</t>
  </si>
  <si>
    <t xml:space="preserve">FM0364</t>
  </si>
  <si>
    <t xml:space="preserve">FM0365</t>
  </si>
  <si>
    <t xml:space="preserve">FM0366</t>
  </si>
  <si>
    <t xml:space="preserve">FM0367</t>
  </si>
  <si>
    <t xml:space="preserve">FM0368</t>
  </si>
  <si>
    <t xml:space="preserve">FM0369</t>
  </si>
  <si>
    <t xml:space="preserve">FM0370</t>
  </si>
  <si>
    <t xml:space="preserve">FM0371</t>
  </si>
  <si>
    <t xml:space="preserve">FM0372</t>
  </si>
  <si>
    <t xml:space="preserve">FM0373</t>
  </si>
  <si>
    <t xml:space="preserve">FM0374</t>
  </si>
  <si>
    <t xml:space="preserve">FM0375</t>
  </si>
  <si>
    <t xml:space="preserve">FM0376</t>
  </si>
  <si>
    <t xml:space="preserve">FM0377</t>
  </si>
  <si>
    <t xml:space="preserve">FM0378</t>
  </si>
  <si>
    <t xml:space="preserve">FM0379</t>
  </si>
  <si>
    <t xml:space="preserve">FM0380</t>
  </si>
  <si>
    <t xml:space="preserve">FM0381</t>
  </si>
  <si>
    <t xml:space="preserve">FM0382</t>
  </si>
  <si>
    <t xml:space="preserve">FM0383</t>
  </si>
  <si>
    <t xml:space="preserve">FM0384</t>
  </si>
  <si>
    <t xml:space="preserve">FM0385</t>
  </si>
  <si>
    <t xml:space="preserve">FM0386</t>
  </si>
  <si>
    <t xml:space="preserve">FM0387</t>
  </si>
  <si>
    <t xml:space="preserve">FM0388</t>
  </si>
  <si>
    <t xml:space="preserve">FM0389</t>
  </si>
  <si>
    <t xml:space="preserve">FM0390</t>
  </si>
  <si>
    <t xml:space="preserve">FM0391</t>
  </si>
  <si>
    <t xml:space="preserve">FM0392</t>
  </si>
  <si>
    <t xml:space="preserve">FM0393</t>
  </si>
  <si>
    <t xml:space="preserve">FM0394</t>
  </si>
  <si>
    <t xml:space="preserve">FM0395</t>
  </si>
  <si>
    <t xml:space="preserve">FM0396</t>
  </si>
  <si>
    <t xml:space="preserve">FM0397</t>
  </si>
  <si>
    <t xml:space="preserve">FM0398</t>
  </si>
  <si>
    <t xml:space="preserve">FM0399</t>
  </si>
  <si>
    <t xml:space="preserve">FM0400</t>
  </si>
  <si>
    <t xml:space="preserve">FM0401</t>
  </si>
  <si>
    <t xml:space="preserve">FM0402</t>
  </si>
  <si>
    <t xml:space="preserve">FM0403</t>
  </si>
  <si>
    <t xml:space="preserve">FM0404</t>
  </si>
  <si>
    <t xml:space="preserve">FM0405</t>
  </si>
  <si>
    <t xml:space="preserve">FM0406</t>
  </si>
  <si>
    <t xml:space="preserve">FM0407</t>
  </si>
  <si>
    <t xml:space="preserve">FM0408</t>
  </si>
  <si>
    <t xml:space="preserve">FM0409</t>
  </si>
  <si>
    <t xml:space="preserve">FM0410</t>
  </si>
  <si>
    <t xml:space="preserve">FM0411</t>
  </si>
  <si>
    <t xml:space="preserve">FM0412</t>
  </si>
  <si>
    <t xml:space="preserve">FM0413</t>
  </si>
  <si>
    <t xml:space="preserve">FM0414</t>
  </si>
  <si>
    <t xml:space="preserve">FM0415</t>
  </si>
  <si>
    <t xml:space="preserve">FM0416</t>
  </si>
  <si>
    <t xml:space="preserve">FM0417</t>
  </si>
  <si>
    <t xml:space="preserve">FM0418</t>
  </si>
  <si>
    <t xml:space="preserve">FM0419</t>
  </si>
  <si>
    <t xml:space="preserve">FM0420</t>
  </si>
  <si>
    <t xml:space="preserve">FM0421</t>
  </si>
  <si>
    <t xml:space="preserve">FM0422</t>
  </si>
  <si>
    <t xml:space="preserve">FM0423</t>
  </si>
  <si>
    <t xml:space="preserve">FM0424</t>
  </si>
  <si>
    <t xml:space="preserve">FM0425</t>
  </si>
  <si>
    <t xml:space="preserve">FM0426</t>
  </si>
  <si>
    <t xml:space="preserve">FM0427</t>
  </si>
  <si>
    <t xml:space="preserve">FM0428</t>
  </si>
  <si>
    <t xml:space="preserve">FM0429</t>
  </si>
  <si>
    <t xml:space="preserve">FM0430</t>
  </si>
  <si>
    <t xml:space="preserve">FM0431</t>
  </si>
  <si>
    <t xml:space="preserve">FM0432</t>
  </si>
  <si>
    <t xml:space="preserve">FM0433</t>
  </si>
  <si>
    <t xml:space="preserve">FM0434</t>
  </si>
  <si>
    <t xml:space="preserve">FM0435</t>
  </si>
  <si>
    <t xml:space="preserve">FM0436</t>
  </si>
  <si>
    <t xml:space="preserve">FM0437</t>
  </si>
  <si>
    <t xml:space="preserve">FM0438</t>
  </si>
  <si>
    <t xml:space="preserve">FM0439</t>
  </si>
  <si>
    <t xml:space="preserve">FM0440</t>
  </si>
  <si>
    <t xml:space="preserve">FM0441</t>
  </si>
  <si>
    <t xml:space="preserve">FM0442</t>
  </si>
  <si>
    <t xml:space="preserve">FM0443</t>
  </si>
  <si>
    <t xml:space="preserve">FM0444</t>
  </si>
  <si>
    <t xml:space="preserve">FM0445</t>
  </si>
  <si>
    <t xml:space="preserve">FM0446</t>
  </si>
  <si>
    <t xml:space="preserve">FM0447</t>
  </si>
  <si>
    <t xml:space="preserve">FM0448</t>
  </si>
  <si>
    <t xml:space="preserve">FM0449</t>
  </si>
  <si>
    <t xml:space="preserve">FM0450</t>
  </si>
  <si>
    <t xml:space="preserve">FM0451</t>
  </si>
  <si>
    <t xml:space="preserve">FM0452</t>
  </si>
  <si>
    <t xml:space="preserve">FM0453</t>
  </si>
  <si>
    <t xml:space="preserve">FM0454</t>
  </si>
  <si>
    <t xml:space="preserve">FM0455</t>
  </si>
  <si>
    <t xml:space="preserve">FM0456</t>
  </si>
  <si>
    <t xml:space="preserve">FM0457</t>
  </si>
  <si>
    <t xml:space="preserve">FM0458</t>
  </si>
  <si>
    <t xml:space="preserve">FM0459</t>
  </si>
  <si>
    <t xml:space="preserve">FM0460</t>
  </si>
  <si>
    <t xml:space="preserve">FM0461</t>
  </si>
  <si>
    <t xml:space="preserve">FM0462</t>
  </si>
  <si>
    <t xml:space="preserve">FM0463</t>
  </si>
  <si>
    <t xml:space="preserve">FM0464</t>
  </si>
  <si>
    <t xml:space="preserve">FM0465</t>
  </si>
  <si>
    <t xml:space="preserve">FM0466</t>
  </si>
  <si>
    <t xml:space="preserve">FM0467</t>
  </si>
  <si>
    <t xml:space="preserve">FM0468</t>
  </si>
  <si>
    <t xml:space="preserve">FM0469</t>
  </si>
  <si>
    <t xml:space="preserve">FM0470</t>
  </si>
  <si>
    <t xml:space="preserve">FM0471</t>
  </si>
  <si>
    <t xml:space="preserve">FM0472</t>
  </si>
  <si>
    <t xml:space="preserve">FM0473</t>
  </si>
  <si>
    <t xml:space="preserve">FM0474</t>
  </si>
  <si>
    <t xml:space="preserve">FM0475</t>
  </si>
  <si>
    <t xml:space="preserve">FM0476</t>
  </si>
  <si>
    <t xml:space="preserve">FM0477</t>
  </si>
  <si>
    <t xml:space="preserve">FM0478</t>
  </si>
  <si>
    <t xml:space="preserve">FM0479</t>
  </si>
  <si>
    <t xml:space="preserve">FM0480</t>
  </si>
  <si>
    <t xml:space="preserve">FM0481</t>
  </si>
  <si>
    <t xml:space="preserve">FM0482</t>
  </si>
  <si>
    <t xml:space="preserve">FM0483</t>
  </si>
  <si>
    <t xml:space="preserve">FM0484</t>
  </si>
  <si>
    <t xml:space="preserve">FM0485</t>
  </si>
  <si>
    <t xml:space="preserve">FM0486</t>
  </si>
  <si>
    <t xml:space="preserve">FM0487</t>
  </si>
  <si>
    <t xml:space="preserve">FM0488</t>
  </si>
  <si>
    <t xml:space="preserve">FM0489</t>
  </si>
  <si>
    <t xml:space="preserve">FM0490</t>
  </si>
  <si>
    <t xml:space="preserve">FM0491</t>
  </si>
  <si>
    <t xml:space="preserve">FM0492</t>
  </si>
  <si>
    <t xml:space="preserve">FM0493</t>
  </si>
  <si>
    <t xml:space="preserve">FM0494</t>
  </si>
  <si>
    <t xml:space="preserve">FM0495</t>
  </si>
  <si>
    <t xml:space="preserve">FM0496</t>
  </si>
  <si>
    <t xml:space="preserve">FM0497</t>
  </si>
  <si>
    <t xml:space="preserve">FM0498</t>
  </si>
  <si>
    <t xml:space="preserve">FM0499</t>
  </si>
  <si>
    <t xml:space="preserve">FM0500</t>
  </si>
  <si>
    <t xml:space="preserve">Shipper</t>
  </si>
  <si>
    <t xml:space="preserve">Trạng thái</t>
  </si>
  <si>
    <t xml:space="preserve">Phạm Quốc Bảo</t>
  </si>
  <si>
    <t xml:space="preserve">Đang giao</t>
  </si>
  <si>
    <t xml:space="preserve">Đã giao</t>
  </si>
  <si>
    <t xml:space="preserve">Lê Thị Hoa</t>
  </si>
  <si>
    <t xml:space="preserve">Đỗ Anh Tuấn</t>
  </si>
  <si>
    <t xml:space="preserve">FM0241 </t>
  </si>
  <si>
    <t xml:space="preserve">Đặng Ngọc Lan</t>
  </si>
  <si>
    <t xml:space="preserve">Bùi Hữu Phúc</t>
  </si>
  <si>
    <t xml:space="preserve">Chờ lấy hàng</t>
  </si>
  <si>
    <t xml:space="preserve">Ngô Thùy Dung</t>
  </si>
  <si>
    <t xml:space="preserve">Trần Minh Khoa</t>
  </si>
  <si>
    <t xml:space="preserve">Hoàng Gia Huy</t>
  </si>
  <si>
    <t xml:space="preserve">Nguyễn Văn An</t>
  </si>
  <si>
    <t xml:space="preserve">FM0405 </t>
  </si>
  <si>
    <t xml:space="preserve"> FM0233</t>
  </si>
  <si>
    <t xml:space="preserve">Võ Thanh Tùng</t>
  </si>
  <si>
    <t xml:space="preserve">FM0342 </t>
  </si>
  <si>
    <t xml:space="preserve"> FM0216</t>
  </si>
  <si>
    <t xml:space="preserve">fm0472</t>
  </si>
  <si>
    <t xml:space="preserve">FM9001</t>
  </si>
  <si>
    <t xml:space="preserve">FM9002</t>
  </si>
  <si>
    <t xml:space="preserve">#</t>
  </si>
  <si>
    <t xml:space="preserve">Ca kiểm thử</t>
  </si>
  <si>
    <t xml:space="preserve">Dữ liệu nhập</t>
  </si>
  <si>
    <t xml:space="preserve">Báo lỗi N/A nếu KHÔNG xử lý?</t>
  </si>
  <si>
    <t xml:space="preserve">Kết quả sau xử lý</t>
  </si>
  <si>
    <t xml:space="preserve">Mong đợi</t>
  </si>
  <si>
    <t xml:space="preserve">Kết luận</t>
  </si>
  <si>
    <t xml:space="preserve">Mã đúng</t>
  </si>
  <si>
    <t xml:space="preserve">Thừa khoảng trắng cuối</t>
  </si>
  <si>
    <t xml:space="preserve">FM0001 </t>
  </si>
  <si>
    <t xml:space="preserve">Chứa ký tự CHAR(160) (copy từ web)</t>
  </si>
  <si>
    <t xml:space="preserve">FM0001 </t>
  </si>
  <si>
    <t xml:space="preserve">Viết thường</t>
  </si>
  <si>
    <t xml:space="preserve">fm0001</t>
  </si>
  <si>
    <t xml:space="preserve">Mã không có trong bảng</t>
  </si>
  <si>
    <t xml:space="preserve">FM9999</t>
  </si>
  <si>
    <t xml:space="preserve">Kiểm tra mã</t>
  </si>
  <si>
    <t xml:space="preserve">Ô trống</t>
  </si>
  <si>
    <t xml:space="preserve">Cột D = TRUE nghĩa là công thức VLOOKUP trần sẽ báo lỗi N/A. Cột E xử lý sạch cả 6 ca.</t>
  </si>
  <si>
    <t xml:space="preserve">Tuần</t>
  </si>
  <si>
    <t xml:space="preserve">Giao đúng hạn (%)</t>
  </si>
  <si>
    <t xml:space="preserve">Mục tiêu (%)</t>
  </si>
  <si>
    <t xml:space="preserve">Tuần 1</t>
  </si>
  <si>
    <t xml:space="preserve">Tuần 2</t>
  </si>
  <si>
    <t xml:space="preserve">Tuần 3</t>
  </si>
  <si>
    <t xml:space="preserve">Tuần 4</t>
  </si>
  <si>
    <t xml:space="preserve">Tuần 5</t>
  </si>
  <si>
    <t xml:space="preserve">Tuần 6</t>
  </si>
  <si>
    <t xml:space="preserve">Tuần 7</t>
  </si>
  <si>
    <t xml:space="preserve">Tuần 8</t>
  </si>
  <si>
    <t xml:space="preserve">Số liệu minh họa – thay bằng KPI thật. Cột cam = tuần đầu tiên vượt mục tiêu.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</si>
</sst>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6A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93025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2E9E5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6A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6A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A00"/>
      <rgbColor rgb="FF666666"/>
      <rgbColor rgb="FF969696"/>
      <rgbColor rgb="FF003366"/>
      <rgbColor rgb="FF2E9E5B"/>
      <rgbColor rgb="FF003300"/>
      <rgbColor rgb="FF333300"/>
      <rgbColor rgb="FFD930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Giao đúng hạn vượt mục tiêu 90% từ tuần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KPI!B1</c:f>
              <c:strCache>
                <c:ptCount val="1"/>
                <c:pt idx="0">
                  <c:v>Giao đúng hạn (%)</c:v>
                </c:pt>
              </c:strCache>
            </c:strRef>
          </c:tx>
          <c:spPr>
            <a:solidFill>
              <a:srgbClr val="bdbdbd"/>
            </a:solidFill>
            <a:ln w="0">
              <a:solidFill>
                <a:srgbClr val="bdbdbd"/>
              </a:solidFill>
            </a:ln>
          </c:spPr>
          <c:invertIfNegative val="0"/>
          <c:dPt>
            <c:idx val="3"/>
            <c:invertIfNegative val="0"/>
            <c:spPr>
              <a:solidFill>
                <a:srgbClr val="ff6a00"/>
              </a:solidFill>
              <a:ln w="0">
                <a:solidFill>
                  <a:srgbClr val="ff6a00"/>
                </a:solidFill>
              </a:ln>
            </c:spPr>
          </c:dPt>
          <c:dLbls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KPI!$A$2:$A$9</c:f>
              <c:strCache>
                <c:ptCount val="8"/>
                <c:pt idx="0">
                  <c:v>Tuần 1</c:v>
                </c:pt>
                <c:pt idx="1">
                  <c:v>Tuần 2</c:v>
                </c:pt>
                <c:pt idx="2">
                  <c:v>Tuần 3</c:v>
                </c:pt>
                <c:pt idx="3">
                  <c:v>Tuần 4</c:v>
                </c:pt>
                <c:pt idx="4">
                  <c:v>Tuần 5</c:v>
                </c:pt>
                <c:pt idx="5">
                  <c:v>Tuần 6</c:v>
                </c:pt>
                <c:pt idx="6">
                  <c:v>Tuần 7</c:v>
                </c:pt>
                <c:pt idx="7">
                  <c:v>Tuần 8</c:v>
                </c:pt>
              </c:strCache>
            </c:strRef>
          </c:cat>
          <c:val>
            <c:numRef>
              <c:f>KPI!$B$2:$B$9</c:f>
              <c:numCache>
                <c:formatCode>General</c:formatCode>
                <c:ptCount val="8"/>
                <c:pt idx="0">
                  <c:v>82</c:v>
                </c:pt>
                <c:pt idx="1">
                  <c:v>84</c:v>
                </c:pt>
                <c:pt idx="2">
                  <c:v>86</c:v>
                </c:pt>
                <c:pt idx="3">
                  <c:v>91</c:v>
                </c:pt>
                <c:pt idx="4">
                  <c:v>93</c:v>
                </c:pt>
                <c:pt idx="5">
                  <c:v>94</c:v>
                </c:pt>
                <c:pt idx="6">
                  <c:v>95</c:v>
                </c:pt>
                <c:pt idx="7">
                  <c:v>96</c:v>
                </c:pt>
              </c:numCache>
            </c:numRef>
          </c:val>
        </c:ser>
        <c:gapWidth val="60"/>
        <c:overlap val="0"/>
        <c:axId val="42564104"/>
        <c:axId val="25497391"/>
      </c:barChart>
      <c:lineChart>
        <c:grouping val="standard"/>
        <c:varyColors val="0"/>
        <c:ser>
          <c:idx val="1"/>
          <c:order val="1"/>
          <c:tx>
            <c:strRef>
              <c:f>KPI!C1</c:f>
              <c:strCache>
                <c:ptCount val="1"/>
                <c:pt idx="0">
                  <c:v>Mục tiêu (%)</c:v>
                </c:pt>
              </c:strCache>
            </c:strRef>
          </c:tx>
          <c:spPr>
            <a:solidFill>
              <a:srgbClr val="333333"/>
            </a:solidFill>
            <a:ln w="28440">
              <a:solidFill>
                <a:srgbClr val="333333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KPI!$A$2:$A$9</c:f>
              <c:strCache>
                <c:ptCount val="8"/>
                <c:pt idx="0">
                  <c:v>Tuần 1</c:v>
                </c:pt>
                <c:pt idx="1">
                  <c:v>Tuần 2</c:v>
                </c:pt>
                <c:pt idx="2">
                  <c:v>Tuần 3</c:v>
                </c:pt>
                <c:pt idx="3">
                  <c:v>Tuần 4</c:v>
                </c:pt>
                <c:pt idx="4">
                  <c:v>Tuần 5</c:v>
                </c:pt>
                <c:pt idx="5">
                  <c:v>Tuần 6</c:v>
                </c:pt>
                <c:pt idx="6">
                  <c:v>Tuần 7</c:v>
                </c:pt>
                <c:pt idx="7">
                  <c:v>Tuần 8</c:v>
                </c:pt>
              </c:strCache>
            </c:strRef>
          </c:cat>
          <c:val>
            <c:numRef>
              <c:f>KPI!$C$2:$C$9</c:f>
              <c:numCache>
                <c:formatCode>General</c:formatCode>
                <c:ptCount val="8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564104"/>
        <c:axId val="25497391"/>
      </c:lineChart>
      <c:catAx>
        <c:axId val="42564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97391"/>
        <c:crosses val="autoZero"/>
        <c:auto val="1"/>
        <c:lblAlgn val="ctr"/>
        <c:lblOffset val="100"/>
        <c:noMultiLvlLbl val="0"/>
      </c:catAx>
      <c:valAx>
        <c:axId val="25497391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641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4981680" y="3049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31.5" hidden="false" customHeight="true" outlineLevel="0" collapsed="false">
      <c r="A4" s="2" t="s">
        <v>3</v>
      </c>
      <c r="B4" s="3" t="s">
        <v>4</v>
      </c>
    </row>
    <row r="5" customFormat="false" ht="31.5" hidden="false" customHeight="true" outlineLevel="0" collapsed="false">
      <c r="A5" s="2" t="s">
        <v>5</v>
      </c>
      <c r="B5" s="3" t="s">
        <v>6</v>
      </c>
    </row>
    <row r="6" customFormat="false" ht="31.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4" t="n">
        <f aca="false">COUNTIF(VanDon!D2:D501,"Kiểm tra mã")</f>
        <v>2</v>
      </c>
    </row>
    <row r="10" customFormat="false" ht="31.5" hidden="false" customHeight="true" outlineLevel="0" collapsed="false">
      <c r="A10" s="2" t="s">
        <v>14</v>
      </c>
      <c r="B10" s="3" t="s">
        <v>15</v>
      </c>
    </row>
    <row r="11" customFormat="false" ht="31.5" hidden="false" customHeight="true" outlineLevel="0" collapsed="false">
      <c r="A11" s="2" t="s">
        <v>16</v>
      </c>
      <c r="B11" s="3" t="s">
        <v>17</v>
      </c>
    </row>
    <row r="13" customFormat="false" ht="15" hidden="false" customHeight="false" outlineLevel="0" collapsed="false">
      <c r="A13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8"/>
  </cols>
  <sheetData>
    <row r="1" customFormat="false" ht="24" hidden="false" customHeight="true" outlineLevel="0" collapsed="false">
      <c r="A1" s="6" t="s">
        <v>19</v>
      </c>
      <c r="B1" s="6" t="s">
        <v>20</v>
      </c>
      <c r="C1" s="6" t="s">
        <v>21</v>
      </c>
    </row>
    <row r="2" customFormat="false" ht="15" hidden="false" customHeight="false" outlineLevel="0" collapsed="false">
      <c r="A2" s="7" t="s">
        <v>22</v>
      </c>
      <c r="B2" s="7" t="s">
        <v>23</v>
      </c>
      <c r="C2" s="8" t="n">
        <v>55000</v>
      </c>
    </row>
    <row r="3" customFormat="false" ht="15" hidden="false" customHeight="false" outlineLevel="0" collapsed="false">
      <c r="A3" s="7" t="s">
        <v>24</v>
      </c>
      <c r="B3" s="7" t="s">
        <v>25</v>
      </c>
      <c r="C3" s="8" t="n">
        <v>35000</v>
      </c>
    </row>
    <row r="4" customFormat="false" ht="15" hidden="false" customHeight="false" outlineLevel="0" collapsed="false">
      <c r="A4" s="7" t="s">
        <v>26</v>
      </c>
      <c r="B4" s="7" t="s">
        <v>27</v>
      </c>
      <c r="C4" s="8" t="n">
        <v>80000</v>
      </c>
    </row>
    <row r="5" customFormat="false" ht="15" hidden="false" customHeight="false" outlineLevel="0" collapsed="false">
      <c r="A5" s="7" t="s">
        <v>28</v>
      </c>
      <c r="B5" s="7" t="s">
        <v>29</v>
      </c>
      <c r="C5" s="8" t="n">
        <v>25000</v>
      </c>
    </row>
    <row r="6" customFormat="false" ht="15" hidden="false" customHeight="false" outlineLevel="0" collapsed="false">
      <c r="A6" s="7" t="s">
        <v>30</v>
      </c>
      <c r="B6" s="7" t="s">
        <v>29</v>
      </c>
      <c r="C6" s="8" t="n">
        <v>25000</v>
      </c>
    </row>
    <row r="7" customFormat="false" ht="15" hidden="false" customHeight="false" outlineLevel="0" collapsed="false">
      <c r="A7" s="7" t="s">
        <v>31</v>
      </c>
      <c r="B7" s="7" t="s">
        <v>29</v>
      </c>
      <c r="C7" s="8" t="n">
        <v>25000</v>
      </c>
    </row>
    <row r="8" customFormat="false" ht="15" hidden="false" customHeight="false" outlineLevel="0" collapsed="false">
      <c r="A8" s="7" t="s">
        <v>32</v>
      </c>
      <c r="B8" s="7" t="s">
        <v>23</v>
      </c>
      <c r="C8" s="8" t="n">
        <v>55000</v>
      </c>
    </row>
    <row r="9" customFormat="false" ht="15" hidden="false" customHeight="false" outlineLevel="0" collapsed="false">
      <c r="A9" s="7" t="s">
        <v>33</v>
      </c>
      <c r="B9" s="7" t="s">
        <v>29</v>
      </c>
      <c r="C9" s="8" t="n">
        <v>25000</v>
      </c>
    </row>
    <row r="10" customFormat="false" ht="15" hidden="false" customHeight="false" outlineLevel="0" collapsed="false">
      <c r="A10" s="7" t="s">
        <v>34</v>
      </c>
      <c r="B10" s="7" t="s">
        <v>25</v>
      </c>
      <c r="C10" s="8" t="n">
        <v>35000</v>
      </c>
    </row>
    <row r="11" customFormat="false" ht="15" hidden="false" customHeight="false" outlineLevel="0" collapsed="false">
      <c r="A11" s="7" t="s">
        <v>35</v>
      </c>
      <c r="B11" s="7" t="s">
        <v>29</v>
      </c>
      <c r="C11" s="8" t="n">
        <v>25000</v>
      </c>
    </row>
    <row r="12" customFormat="false" ht="15" hidden="false" customHeight="false" outlineLevel="0" collapsed="false">
      <c r="A12" s="7" t="s">
        <v>36</v>
      </c>
      <c r="B12" s="7" t="s">
        <v>29</v>
      </c>
      <c r="C12" s="8" t="n">
        <v>25000</v>
      </c>
    </row>
    <row r="13" customFormat="false" ht="15" hidden="false" customHeight="false" outlineLevel="0" collapsed="false">
      <c r="A13" s="7" t="s">
        <v>37</v>
      </c>
      <c r="B13" s="7" t="s">
        <v>27</v>
      </c>
      <c r="C13" s="8" t="n">
        <v>80000</v>
      </c>
    </row>
    <row r="14" customFormat="false" ht="15" hidden="false" customHeight="false" outlineLevel="0" collapsed="false">
      <c r="A14" s="7" t="s">
        <v>38</v>
      </c>
      <c r="B14" s="7" t="s">
        <v>27</v>
      </c>
      <c r="C14" s="8" t="n">
        <v>80000</v>
      </c>
    </row>
    <row r="15" customFormat="false" ht="15" hidden="false" customHeight="false" outlineLevel="0" collapsed="false">
      <c r="A15" s="7" t="s">
        <v>39</v>
      </c>
      <c r="B15" s="7" t="s">
        <v>29</v>
      </c>
      <c r="C15" s="8" t="n">
        <v>25000</v>
      </c>
    </row>
    <row r="16" customFormat="false" ht="15" hidden="false" customHeight="false" outlineLevel="0" collapsed="false">
      <c r="A16" s="7" t="s">
        <v>40</v>
      </c>
      <c r="B16" s="7" t="s">
        <v>25</v>
      </c>
      <c r="C16" s="8" t="n">
        <v>35000</v>
      </c>
    </row>
    <row r="17" customFormat="false" ht="15" hidden="false" customHeight="false" outlineLevel="0" collapsed="false">
      <c r="A17" s="7" t="s">
        <v>41</v>
      </c>
      <c r="B17" s="7" t="s">
        <v>29</v>
      </c>
      <c r="C17" s="8" t="n">
        <v>25000</v>
      </c>
    </row>
    <row r="18" customFormat="false" ht="15" hidden="false" customHeight="false" outlineLevel="0" collapsed="false">
      <c r="A18" s="7" t="s">
        <v>42</v>
      </c>
      <c r="B18" s="7" t="s">
        <v>27</v>
      </c>
      <c r="C18" s="8" t="n">
        <v>80000</v>
      </c>
    </row>
    <row r="19" customFormat="false" ht="15" hidden="false" customHeight="false" outlineLevel="0" collapsed="false">
      <c r="A19" s="7" t="s">
        <v>43</v>
      </c>
      <c r="B19" s="7" t="s">
        <v>29</v>
      </c>
      <c r="C19" s="8" t="n">
        <v>25000</v>
      </c>
    </row>
    <row r="20" customFormat="false" ht="15" hidden="false" customHeight="false" outlineLevel="0" collapsed="false">
      <c r="A20" s="7" t="s">
        <v>44</v>
      </c>
      <c r="B20" s="7" t="s">
        <v>29</v>
      </c>
      <c r="C20" s="8" t="n">
        <v>25000</v>
      </c>
    </row>
    <row r="21" customFormat="false" ht="15" hidden="false" customHeight="false" outlineLevel="0" collapsed="false">
      <c r="A21" s="7" t="s">
        <v>45</v>
      </c>
      <c r="B21" s="7" t="s">
        <v>25</v>
      </c>
      <c r="C21" s="8" t="n">
        <v>35000</v>
      </c>
    </row>
    <row r="22" customFormat="false" ht="15" hidden="false" customHeight="false" outlineLevel="0" collapsed="false">
      <c r="A22" s="7" t="s">
        <v>46</v>
      </c>
      <c r="B22" s="7" t="s">
        <v>29</v>
      </c>
      <c r="C22" s="8" t="n">
        <v>25000</v>
      </c>
    </row>
    <row r="23" customFormat="false" ht="15" hidden="false" customHeight="false" outlineLevel="0" collapsed="false">
      <c r="A23" s="7" t="s">
        <v>47</v>
      </c>
      <c r="B23" s="7" t="s">
        <v>27</v>
      </c>
      <c r="C23" s="8" t="n">
        <v>80000</v>
      </c>
    </row>
    <row r="24" customFormat="false" ht="15" hidden="false" customHeight="false" outlineLevel="0" collapsed="false">
      <c r="A24" s="7" t="s">
        <v>48</v>
      </c>
      <c r="B24" s="7" t="s">
        <v>29</v>
      </c>
      <c r="C24" s="8" t="n">
        <v>25000</v>
      </c>
    </row>
    <row r="25" customFormat="false" ht="15" hidden="false" customHeight="false" outlineLevel="0" collapsed="false">
      <c r="A25" s="7" t="s">
        <v>49</v>
      </c>
      <c r="B25" s="7" t="s">
        <v>25</v>
      </c>
      <c r="C25" s="8" t="n">
        <v>35000</v>
      </c>
    </row>
    <row r="26" customFormat="false" ht="15" hidden="false" customHeight="false" outlineLevel="0" collapsed="false">
      <c r="A26" s="7" t="s">
        <v>50</v>
      </c>
      <c r="B26" s="7" t="s">
        <v>29</v>
      </c>
      <c r="C26" s="8" t="n">
        <v>25000</v>
      </c>
    </row>
    <row r="27" customFormat="false" ht="15" hidden="false" customHeight="false" outlineLevel="0" collapsed="false">
      <c r="A27" s="7" t="s">
        <v>51</v>
      </c>
      <c r="B27" s="7" t="s">
        <v>25</v>
      </c>
      <c r="C27" s="8" t="n">
        <v>35000</v>
      </c>
    </row>
    <row r="28" customFormat="false" ht="15" hidden="false" customHeight="false" outlineLevel="0" collapsed="false">
      <c r="A28" s="7" t="s">
        <v>52</v>
      </c>
      <c r="B28" s="7" t="s">
        <v>23</v>
      </c>
      <c r="C28" s="8" t="n">
        <v>55000</v>
      </c>
    </row>
    <row r="29" customFormat="false" ht="15" hidden="false" customHeight="false" outlineLevel="0" collapsed="false">
      <c r="A29" s="7" t="s">
        <v>53</v>
      </c>
      <c r="B29" s="7" t="s">
        <v>27</v>
      </c>
      <c r="C29" s="8" t="n">
        <v>80000</v>
      </c>
    </row>
    <row r="30" customFormat="false" ht="15" hidden="false" customHeight="false" outlineLevel="0" collapsed="false">
      <c r="A30" s="7" t="s">
        <v>54</v>
      </c>
      <c r="B30" s="7" t="s">
        <v>25</v>
      </c>
      <c r="C30" s="8" t="n">
        <v>35000</v>
      </c>
    </row>
    <row r="31" customFormat="false" ht="15" hidden="false" customHeight="false" outlineLevel="0" collapsed="false">
      <c r="A31" s="7" t="s">
        <v>55</v>
      </c>
      <c r="B31" s="7" t="s">
        <v>29</v>
      </c>
      <c r="C31" s="8" t="n">
        <v>25000</v>
      </c>
    </row>
    <row r="32" customFormat="false" ht="15" hidden="false" customHeight="false" outlineLevel="0" collapsed="false">
      <c r="A32" s="7" t="s">
        <v>56</v>
      </c>
      <c r="B32" s="7" t="s">
        <v>23</v>
      </c>
      <c r="C32" s="8" t="n">
        <v>55000</v>
      </c>
    </row>
    <row r="33" customFormat="false" ht="15" hidden="false" customHeight="false" outlineLevel="0" collapsed="false">
      <c r="A33" s="7" t="s">
        <v>57</v>
      </c>
      <c r="B33" s="7" t="s">
        <v>25</v>
      </c>
      <c r="C33" s="8" t="n">
        <v>35000</v>
      </c>
    </row>
    <row r="34" customFormat="false" ht="15" hidden="false" customHeight="false" outlineLevel="0" collapsed="false">
      <c r="A34" s="7" t="s">
        <v>58</v>
      </c>
      <c r="B34" s="7" t="s">
        <v>29</v>
      </c>
      <c r="C34" s="8" t="n">
        <v>25000</v>
      </c>
    </row>
    <row r="35" customFormat="false" ht="15" hidden="false" customHeight="false" outlineLevel="0" collapsed="false">
      <c r="A35" s="7" t="s">
        <v>59</v>
      </c>
      <c r="B35" s="7" t="s">
        <v>25</v>
      </c>
      <c r="C35" s="8" t="n">
        <v>35000</v>
      </c>
    </row>
    <row r="36" customFormat="false" ht="15" hidden="false" customHeight="false" outlineLevel="0" collapsed="false">
      <c r="A36" s="7" t="s">
        <v>60</v>
      </c>
      <c r="B36" s="7" t="s">
        <v>23</v>
      </c>
      <c r="C36" s="8" t="n">
        <v>55000</v>
      </c>
    </row>
    <row r="37" customFormat="false" ht="15" hidden="false" customHeight="false" outlineLevel="0" collapsed="false">
      <c r="A37" s="7" t="s">
        <v>61</v>
      </c>
      <c r="B37" s="7" t="s">
        <v>29</v>
      </c>
      <c r="C37" s="8" t="n">
        <v>25000</v>
      </c>
    </row>
    <row r="38" customFormat="false" ht="15" hidden="false" customHeight="false" outlineLevel="0" collapsed="false">
      <c r="A38" s="7" t="s">
        <v>62</v>
      </c>
      <c r="B38" s="7" t="s">
        <v>29</v>
      </c>
      <c r="C38" s="8" t="n">
        <v>25000</v>
      </c>
    </row>
    <row r="39" customFormat="false" ht="15" hidden="false" customHeight="false" outlineLevel="0" collapsed="false">
      <c r="A39" s="7" t="s">
        <v>63</v>
      </c>
      <c r="B39" s="7" t="s">
        <v>29</v>
      </c>
      <c r="C39" s="8" t="n">
        <v>25000</v>
      </c>
    </row>
    <row r="40" customFormat="false" ht="15" hidden="false" customHeight="false" outlineLevel="0" collapsed="false">
      <c r="A40" s="7" t="s">
        <v>64</v>
      </c>
      <c r="B40" s="7" t="s">
        <v>25</v>
      </c>
      <c r="C40" s="8" t="n">
        <v>35000</v>
      </c>
    </row>
    <row r="41" customFormat="false" ht="15" hidden="false" customHeight="false" outlineLevel="0" collapsed="false">
      <c r="A41" s="7" t="s">
        <v>65</v>
      </c>
      <c r="B41" s="7" t="s">
        <v>27</v>
      </c>
      <c r="C41" s="8" t="n">
        <v>80000</v>
      </c>
    </row>
    <row r="42" customFormat="false" ht="15" hidden="false" customHeight="false" outlineLevel="0" collapsed="false">
      <c r="A42" s="7" t="s">
        <v>66</v>
      </c>
      <c r="B42" s="7" t="s">
        <v>27</v>
      </c>
      <c r="C42" s="8" t="n">
        <v>80000</v>
      </c>
    </row>
    <row r="43" customFormat="false" ht="15" hidden="false" customHeight="false" outlineLevel="0" collapsed="false">
      <c r="A43" s="7" t="s">
        <v>67</v>
      </c>
      <c r="B43" s="7" t="s">
        <v>23</v>
      </c>
      <c r="C43" s="8" t="n">
        <v>55000</v>
      </c>
    </row>
    <row r="44" customFormat="false" ht="15" hidden="false" customHeight="false" outlineLevel="0" collapsed="false">
      <c r="A44" s="7" t="s">
        <v>68</v>
      </c>
      <c r="B44" s="7" t="s">
        <v>27</v>
      </c>
      <c r="C44" s="8" t="n">
        <v>80000</v>
      </c>
    </row>
    <row r="45" customFormat="false" ht="15" hidden="false" customHeight="false" outlineLevel="0" collapsed="false">
      <c r="A45" s="7" t="s">
        <v>69</v>
      </c>
      <c r="B45" s="7" t="s">
        <v>27</v>
      </c>
      <c r="C45" s="8" t="n">
        <v>80000</v>
      </c>
    </row>
    <row r="46" customFormat="false" ht="15" hidden="false" customHeight="false" outlineLevel="0" collapsed="false">
      <c r="A46" s="7" t="s">
        <v>70</v>
      </c>
      <c r="B46" s="7" t="s">
        <v>23</v>
      </c>
      <c r="C46" s="8" t="n">
        <v>55000</v>
      </c>
    </row>
    <row r="47" customFormat="false" ht="15" hidden="false" customHeight="false" outlineLevel="0" collapsed="false">
      <c r="A47" s="7" t="s">
        <v>71</v>
      </c>
      <c r="B47" s="7" t="s">
        <v>23</v>
      </c>
      <c r="C47" s="8" t="n">
        <v>55000</v>
      </c>
    </row>
    <row r="48" customFormat="false" ht="15" hidden="false" customHeight="false" outlineLevel="0" collapsed="false">
      <c r="A48" s="7" t="s">
        <v>72</v>
      </c>
      <c r="B48" s="7" t="s">
        <v>25</v>
      </c>
      <c r="C48" s="8" t="n">
        <v>35000</v>
      </c>
    </row>
    <row r="49" customFormat="false" ht="15" hidden="false" customHeight="false" outlineLevel="0" collapsed="false">
      <c r="A49" s="7" t="s">
        <v>73</v>
      </c>
      <c r="B49" s="7" t="s">
        <v>25</v>
      </c>
      <c r="C49" s="8" t="n">
        <v>35000</v>
      </c>
    </row>
    <row r="50" customFormat="false" ht="15" hidden="false" customHeight="false" outlineLevel="0" collapsed="false">
      <c r="A50" s="7" t="s">
        <v>74</v>
      </c>
      <c r="B50" s="7" t="s">
        <v>25</v>
      </c>
      <c r="C50" s="8" t="n">
        <v>35000</v>
      </c>
    </row>
    <row r="51" customFormat="false" ht="15" hidden="false" customHeight="false" outlineLevel="0" collapsed="false">
      <c r="A51" s="7" t="s">
        <v>75</v>
      </c>
      <c r="B51" s="7" t="s">
        <v>29</v>
      </c>
      <c r="C51" s="8" t="n">
        <v>25000</v>
      </c>
    </row>
    <row r="52" customFormat="false" ht="15" hidden="false" customHeight="false" outlineLevel="0" collapsed="false">
      <c r="A52" s="7" t="s">
        <v>76</v>
      </c>
      <c r="B52" s="7" t="s">
        <v>23</v>
      </c>
      <c r="C52" s="8" t="n">
        <v>55000</v>
      </c>
    </row>
    <row r="53" customFormat="false" ht="15" hidden="false" customHeight="false" outlineLevel="0" collapsed="false">
      <c r="A53" s="7" t="s">
        <v>77</v>
      </c>
      <c r="B53" s="7" t="s">
        <v>27</v>
      </c>
      <c r="C53" s="8" t="n">
        <v>80000</v>
      </c>
    </row>
    <row r="54" customFormat="false" ht="15" hidden="false" customHeight="false" outlineLevel="0" collapsed="false">
      <c r="A54" s="7" t="s">
        <v>78</v>
      </c>
      <c r="B54" s="7" t="s">
        <v>23</v>
      </c>
      <c r="C54" s="8" t="n">
        <v>55000</v>
      </c>
    </row>
    <row r="55" customFormat="false" ht="15" hidden="false" customHeight="false" outlineLevel="0" collapsed="false">
      <c r="A55" s="7" t="s">
        <v>79</v>
      </c>
      <c r="B55" s="7" t="s">
        <v>27</v>
      </c>
      <c r="C55" s="8" t="n">
        <v>80000</v>
      </c>
    </row>
    <row r="56" customFormat="false" ht="15" hidden="false" customHeight="false" outlineLevel="0" collapsed="false">
      <c r="A56" s="7" t="s">
        <v>80</v>
      </c>
      <c r="B56" s="7" t="s">
        <v>23</v>
      </c>
      <c r="C56" s="8" t="n">
        <v>55000</v>
      </c>
    </row>
    <row r="57" customFormat="false" ht="15" hidden="false" customHeight="false" outlineLevel="0" collapsed="false">
      <c r="A57" s="7" t="s">
        <v>81</v>
      </c>
      <c r="B57" s="7" t="s">
        <v>29</v>
      </c>
      <c r="C57" s="8" t="n">
        <v>25000</v>
      </c>
    </row>
    <row r="58" customFormat="false" ht="15" hidden="false" customHeight="false" outlineLevel="0" collapsed="false">
      <c r="A58" s="7" t="s">
        <v>82</v>
      </c>
      <c r="B58" s="7" t="s">
        <v>29</v>
      </c>
      <c r="C58" s="8" t="n">
        <v>25000</v>
      </c>
    </row>
    <row r="59" customFormat="false" ht="15" hidden="false" customHeight="false" outlineLevel="0" collapsed="false">
      <c r="A59" s="7" t="s">
        <v>83</v>
      </c>
      <c r="B59" s="7" t="s">
        <v>27</v>
      </c>
      <c r="C59" s="8" t="n">
        <v>80000</v>
      </c>
    </row>
    <row r="60" customFormat="false" ht="15" hidden="false" customHeight="false" outlineLevel="0" collapsed="false">
      <c r="A60" s="7" t="s">
        <v>84</v>
      </c>
      <c r="B60" s="7" t="s">
        <v>25</v>
      </c>
      <c r="C60" s="8" t="n">
        <v>35000</v>
      </c>
    </row>
    <row r="61" customFormat="false" ht="15" hidden="false" customHeight="false" outlineLevel="0" collapsed="false">
      <c r="A61" s="7" t="s">
        <v>85</v>
      </c>
      <c r="B61" s="7" t="s">
        <v>23</v>
      </c>
      <c r="C61" s="8" t="n">
        <v>55000</v>
      </c>
    </row>
    <row r="62" customFormat="false" ht="15" hidden="false" customHeight="false" outlineLevel="0" collapsed="false">
      <c r="A62" s="7" t="s">
        <v>86</v>
      </c>
      <c r="B62" s="7" t="s">
        <v>25</v>
      </c>
      <c r="C62" s="8" t="n">
        <v>35000</v>
      </c>
    </row>
    <row r="63" customFormat="false" ht="15" hidden="false" customHeight="false" outlineLevel="0" collapsed="false">
      <c r="A63" s="7" t="s">
        <v>87</v>
      </c>
      <c r="B63" s="7" t="s">
        <v>27</v>
      </c>
      <c r="C63" s="8" t="n">
        <v>80000</v>
      </c>
    </row>
    <row r="64" customFormat="false" ht="15" hidden="false" customHeight="false" outlineLevel="0" collapsed="false">
      <c r="A64" s="7" t="s">
        <v>88</v>
      </c>
      <c r="B64" s="7" t="s">
        <v>27</v>
      </c>
      <c r="C64" s="8" t="n">
        <v>80000</v>
      </c>
    </row>
    <row r="65" customFormat="false" ht="15" hidden="false" customHeight="false" outlineLevel="0" collapsed="false">
      <c r="A65" s="7" t="s">
        <v>89</v>
      </c>
      <c r="B65" s="7" t="s">
        <v>29</v>
      </c>
      <c r="C65" s="8" t="n">
        <v>25000</v>
      </c>
    </row>
    <row r="66" customFormat="false" ht="15" hidden="false" customHeight="false" outlineLevel="0" collapsed="false">
      <c r="A66" s="7" t="s">
        <v>90</v>
      </c>
      <c r="B66" s="7" t="s">
        <v>29</v>
      </c>
      <c r="C66" s="8" t="n">
        <v>25000</v>
      </c>
    </row>
    <row r="67" customFormat="false" ht="15" hidden="false" customHeight="false" outlineLevel="0" collapsed="false">
      <c r="A67" s="7" t="s">
        <v>91</v>
      </c>
      <c r="B67" s="7" t="s">
        <v>23</v>
      </c>
      <c r="C67" s="8" t="n">
        <v>55000</v>
      </c>
    </row>
    <row r="68" customFormat="false" ht="15" hidden="false" customHeight="false" outlineLevel="0" collapsed="false">
      <c r="A68" s="7" t="s">
        <v>92</v>
      </c>
      <c r="B68" s="7" t="s">
        <v>23</v>
      </c>
      <c r="C68" s="8" t="n">
        <v>55000</v>
      </c>
    </row>
    <row r="69" customFormat="false" ht="15" hidden="false" customHeight="false" outlineLevel="0" collapsed="false">
      <c r="A69" s="7" t="s">
        <v>93</v>
      </c>
      <c r="B69" s="7" t="s">
        <v>23</v>
      </c>
      <c r="C69" s="8" t="n">
        <v>55000</v>
      </c>
    </row>
    <row r="70" customFormat="false" ht="15" hidden="false" customHeight="false" outlineLevel="0" collapsed="false">
      <c r="A70" s="7" t="s">
        <v>94</v>
      </c>
      <c r="B70" s="7" t="s">
        <v>27</v>
      </c>
      <c r="C70" s="8" t="n">
        <v>80000</v>
      </c>
    </row>
    <row r="71" customFormat="false" ht="15" hidden="false" customHeight="false" outlineLevel="0" collapsed="false">
      <c r="A71" s="7" t="s">
        <v>95</v>
      </c>
      <c r="B71" s="7" t="s">
        <v>27</v>
      </c>
      <c r="C71" s="8" t="n">
        <v>80000</v>
      </c>
    </row>
    <row r="72" customFormat="false" ht="15" hidden="false" customHeight="false" outlineLevel="0" collapsed="false">
      <c r="A72" s="7" t="s">
        <v>96</v>
      </c>
      <c r="B72" s="7" t="s">
        <v>29</v>
      </c>
      <c r="C72" s="8" t="n">
        <v>25000</v>
      </c>
    </row>
    <row r="73" customFormat="false" ht="15" hidden="false" customHeight="false" outlineLevel="0" collapsed="false">
      <c r="A73" s="7" t="s">
        <v>97</v>
      </c>
      <c r="B73" s="7" t="s">
        <v>29</v>
      </c>
      <c r="C73" s="8" t="n">
        <v>25000</v>
      </c>
    </row>
    <row r="74" customFormat="false" ht="15" hidden="false" customHeight="false" outlineLevel="0" collapsed="false">
      <c r="A74" s="7" t="s">
        <v>98</v>
      </c>
      <c r="B74" s="7" t="s">
        <v>23</v>
      </c>
      <c r="C74" s="8" t="n">
        <v>55000</v>
      </c>
    </row>
    <row r="75" customFormat="false" ht="15" hidden="false" customHeight="false" outlineLevel="0" collapsed="false">
      <c r="A75" s="7" t="s">
        <v>99</v>
      </c>
      <c r="B75" s="7" t="s">
        <v>27</v>
      </c>
      <c r="C75" s="8" t="n">
        <v>80000</v>
      </c>
    </row>
    <row r="76" customFormat="false" ht="15" hidden="false" customHeight="false" outlineLevel="0" collapsed="false">
      <c r="A76" s="7" t="s">
        <v>100</v>
      </c>
      <c r="B76" s="7" t="s">
        <v>29</v>
      </c>
      <c r="C76" s="8" t="n">
        <v>25000</v>
      </c>
    </row>
    <row r="77" customFormat="false" ht="15" hidden="false" customHeight="false" outlineLevel="0" collapsed="false">
      <c r="A77" s="7" t="s">
        <v>101</v>
      </c>
      <c r="B77" s="7" t="s">
        <v>29</v>
      </c>
      <c r="C77" s="8" t="n">
        <v>25000</v>
      </c>
    </row>
    <row r="78" customFormat="false" ht="15" hidden="false" customHeight="false" outlineLevel="0" collapsed="false">
      <c r="A78" s="7" t="s">
        <v>102</v>
      </c>
      <c r="B78" s="7" t="s">
        <v>23</v>
      </c>
      <c r="C78" s="8" t="n">
        <v>55000</v>
      </c>
    </row>
    <row r="79" customFormat="false" ht="15" hidden="false" customHeight="false" outlineLevel="0" collapsed="false">
      <c r="A79" s="7" t="s">
        <v>103</v>
      </c>
      <c r="B79" s="7" t="s">
        <v>27</v>
      </c>
      <c r="C79" s="8" t="n">
        <v>80000</v>
      </c>
    </row>
    <row r="80" customFormat="false" ht="15" hidden="false" customHeight="false" outlineLevel="0" collapsed="false">
      <c r="A80" s="7" t="s">
        <v>104</v>
      </c>
      <c r="B80" s="7" t="s">
        <v>23</v>
      </c>
      <c r="C80" s="8" t="n">
        <v>55000</v>
      </c>
    </row>
    <row r="81" customFormat="false" ht="15" hidden="false" customHeight="false" outlineLevel="0" collapsed="false">
      <c r="A81" s="7" t="s">
        <v>105</v>
      </c>
      <c r="B81" s="7" t="s">
        <v>27</v>
      </c>
      <c r="C81" s="8" t="n">
        <v>80000</v>
      </c>
    </row>
    <row r="82" customFormat="false" ht="15" hidden="false" customHeight="false" outlineLevel="0" collapsed="false">
      <c r="A82" s="7" t="s">
        <v>106</v>
      </c>
      <c r="B82" s="7" t="s">
        <v>23</v>
      </c>
      <c r="C82" s="8" t="n">
        <v>55000</v>
      </c>
    </row>
    <row r="83" customFormat="false" ht="15" hidden="false" customHeight="false" outlineLevel="0" collapsed="false">
      <c r="A83" s="7" t="s">
        <v>107</v>
      </c>
      <c r="B83" s="7" t="s">
        <v>29</v>
      </c>
      <c r="C83" s="8" t="n">
        <v>25000</v>
      </c>
    </row>
    <row r="84" customFormat="false" ht="15" hidden="false" customHeight="false" outlineLevel="0" collapsed="false">
      <c r="A84" s="7" t="s">
        <v>108</v>
      </c>
      <c r="B84" s="7" t="s">
        <v>27</v>
      </c>
      <c r="C84" s="8" t="n">
        <v>80000</v>
      </c>
    </row>
    <row r="85" customFormat="false" ht="15" hidden="false" customHeight="false" outlineLevel="0" collapsed="false">
      <c r="A85" s="7" t="s">
        <v>109</v>
      </c>
      <c r="B85" s="7" t="s">
        <v>23</v>
      </c>
      <c r="C85" s="8" t="n">
        <v>55000</v>
      </c>
    </row>
    <row r="86" customFormat="false" ht="15" hidden="false" customHeight="false" outlineLevel="0" collapsed="false">
      <c r="A86" s="7" t="s">
        <v>110</v>
      </c>
      <c r="B86" s="7" t="s">
        <v>25</v>
      </c>
      <c r="C86" s="8" t="n">
        <v>35000</v>
      </c>
    </row>
    <row r="87" customFormat="false" ht="15" hidden="false" customHeight="false" outlineLevel="0" collapsed="false">
      <c r="A87" s="7" t="s">
        <v>111</v>
      </c>
      <c r="B87" s="7" t="s">
        <v>29</v>
      </c>
      <c r="C87" s="8" t="n">
        <v>25000</v>
      </c>
    </row>
    <row r="88" customFormat="false" ht="15" hidden="false" customHeight="false" outlineLevel="0" collapsed="false">
      <c r="A88" s="7" t="s">
        <v>112</v>
      </c>
      <c r="B88" s="7" t="s">
        <v>27</v>
      </c>
      <c r="C88" s="8" t="n">
        <v>80000</v>
      </c>
    </row>
    <row r="89" customFormat="false" ht="15" hidden="false" customHeight="false" outlineLevel="0" collapsed="false">
      <c r="A89" s="7" t="s">
        <v>113</v>
      </c>
      <c r="B89" s="7" t="s">
        <v>29</v>
      </c>
      <c r="C89" s="8" t="n">
        <v>25000</v>
      </c>
    </row>
    <row r="90" customFormat="false" ht="15" hidden="false" customHeight="false" outlineLevel="0" collapsed="false">
      <c r="A90" s="7" t="s">
        <v>114</v>
      </c>
      <c r="B90" s="7" t="s">
        <v>25</v>
      </c>
      <c r="C90" s="8" t="n">
        <v>35000</v>
      </c>
    </row>
    <row r="91" customFormat="false" ht="15" hidden="false" customHeight="false" outlineLevel="0" collapsed="false">
      <c r="A91" s="7" t="s">
        <v>115</v>
      </c>
      <c r="B91" s="7" t="s">
        <v>23</v>
      </c>
      <c r="C91" s="8" t="n">
        <v>55000</v>
      </c>
    </row>
    <row r="92" customFormat="false" ht="15" hidden="false" customHeight="false" outlineLevel="0" collapsed="false">
      <c r="A92" s="7" t="s">
        <v>116</v>
      </c>
      <c r="B92" s="7" t="s">
        <v>25</v>
      </c>
      <c r="C92" s="8" t="n">
        <v>35000</v>
      </c>
    </row>
    <row r="93" customFormat="false" ht="15" hidden="false" customHeight="false" outlineLevel="0" collapsed="false">
      <c r="A93" s="7" t="s">
        <v>117</v>
      </c>
      <c r="B93" s="7" t="s">
        <v>25</v>
      </c>
      <c r="C93" s="8" t="n">
        <v>35000</v>
      </c>
    </row>
    <row r="94" customFormat="false" ht="15" hidden="false" customHeight="false" outlineLevel="0" collapsed="false">
      <c r="A94" s="7" t="s">
        <v>118</v>
      </c>
      <c r="B94" s="7" t="s">
        <v>27</v>
      </c>
      <c r="C94" s="8" t="n">
        <v>80000</v>
      </c>
    </row>
    <row r="95" customFormat="false" ht="15" hidden="false" customHeight="false" outlineLevel="0" collapsed="false">
      <c r="A95" s="7" t="s">
        <v>119</v>
      </c>
      <c r="B95" s="7" t="s">
        <v>27</v>
      </c>
      <c r="C95" s="8" t="n">
        <v>80000</v>
      </c>
    </row>
    <row r="96" customFormat="false" ht="15" hidden="false" customHeight="false" outlineLevel="0" collapsed="false">
      <c r="A96" s="7" t="s">
        <v>120</v>
      </c>
      <c r="B96" s="7" t="s">
        <v>27</v>
      </c>
      <c r="C96" s="8" t="n">
        <v>80000</v>
      </c>
    </row>
    <row r="97" customFormat="false" ht="15" hidden="false" customHeight="false" outlineLevel="0" collapsed="false">
      <c r="A97" s="7" t="s">
        <v>121</v>
      </c>
      <c r="B97" s="7" t="s">
        <v>29</v>
      </c>
      <c r="C97" s="8" t="n">
        <v>25000</v>
      </c>
    </row>
    <row r="98" customFormat="false" ht="15" hidden="false" customHeight="false" outlineLevel="0" collapsed="false">
      <c r="A98" s="7" t="s">
        <v>122</v>
      </c>
      <c r="B98" s="7" t="s">
        <v>25</v>
      </c>
      <c r="C98" s="8" t="n">
        <v>35000</v>
      </c>
    </row>
    <row r="99" customFormat="false" ht="15" hidden="false" customHeight="false" outlineLevel="0" collapsed="false">
      <c r="A99" s="7" t="s">
        <v>123</v>
      </c>
      <c r="B99" s="7" t="s">
        <v>27</v>
      </c>
      <c r="C99" s="8" t="n">
        <v>80000</v>
      </c>
    </row>
    <row r="100" customFormat="false" ht="15" hidden="false" customHeight="false" outlineLevel="0" collapsed="false">
      <c r="A100" s="7" t="s">
        <v>124</v>
      </c>
      <c r="B100" s="7" t="s">
        <v>27</v>
      </c>
      <c r="C100" s="8" t="n">
        <v>80000</v>
      </c>
    </row>
    <row r="101" customFormat="false" ht="15" hidden="false" customHeight="false" outlineLevel="0" collapsed="false">
      <c r="A101" s="7" t="s">
        <v>125</v>
      </c>
      <c r="B101" s="7" t="s">
        <v>23</v>
      </c>
      <c r="C101" s="8" t="n">
        <v>55000</v>
      </c>
    </row>
    <row r="102" customFormat="false" ht="15" hidden="false" customHeight="false" outlineLevel="0" collapsed="false">
      <c r="A102" s="7" t="s">
        <v>126</v>
      </c>
      <c r="B102" s="7" t="s">
        <v>25</v>
      </c>
      <c r="C102" s="8" t="n">
        <v>35000</v>
      </c>
    </row>
    <row r="103" customFormat="false" ht="15" hidden="false" customHeight="false" outlineLevel="0" collapsed="false">
      <c r="A103" s="7" t="s">
        <v>127</v>
      </c>
      <c r="B103" s="7" t="s">
        <v>27</v>
      </c>
      <c r="C103" s="8" t="n">
        <v>80000</v>
      </c>
    </row>
    <row r="104" customFormat="false" ht="15" hidden="false" customHeight="false" outlineLevel="0" collapsed="false">
      <c r="A104" s="7" t="s">
        <v>128</v>
      </c>
      <c r="B104" s="7" t="s">
        <v>23</v>
      </c>
      <c r="C104" s="8" t="n">
        <v>55000</v>
      </c>
    </row>
    <row r="105" customFormat="false" ht="15" hidden="false" customHeight="false" outlineLevel="0" collapsed="false">
      <c r="A105" s="7" t="s">
        <v>129</v>
      </c>
      <c r="B105" s="7" t="s">
        <v>27</v>
      </c>
      <c r="C105" s="8" t="n">
        <v>80000</v>
      </c>
    </row>
    <row r="106" customFormat="false" ht="15" hidden="false" customHeight="false" outlineLevel="0" collapsed="false">
      <c r="A106" s="7" t="s">
        <v>130</v>
      </c>
      <c r="B106" s="7" t="s">
        <v>23</v>
      </c>
      <c r="C106" s="8" t="n">
        <v>55000</v>
      </c>
    </row>
    <row r="107" customFormat="false" ht="15" hidden="false" customHeight="false" outlineLevel="0" collapsed="false">
      <c r="A107" s="7" t="s">
        <v>131</v>
      </c>
      <c r="B107" s="7" t="s">
        <v>27</v>
      </c>
      <c r="C107" s="8" t="n">
        <v>80000</v>
      </c>
    </row>
    <row r="108" customFormat="false" ht="15" hidden="false" customHeight="false" outlineLevel="0" collapsed="false">
      <c r="A108" s="7" t="s">
        <v>132</v>
      </c>
      <c r="B108" s="7" t="s">
        <v>25</v>
      </c>
      <c r="C108" s="8" t="n">
        <v>35000</v>
      </c>
    </row>
    <row r="109" customFormat="false" ht="15" hidden="false" customHeight="false" outlineLevel="0" collapsed="false">
      <c r="A109" s="7" t="s">
        <v>133</v>
      </c>
      <c r="B109" s="7" t="s">
        <v>25</v>
      </c>
      <c r="C109" s="8" t="n">
        <v>35000</v>
      </c>
    </row>
    <row r="110" customFormat="false" ht="15" hidden="false" customHeight="false" outlineLevel="0" collapsed="false">
      <c r="A110" s="7" t="s">
        <v>134</v>
      </c>
      <c r="B110" s="7" t="s">
        <v>29</v>
      </c>
      <c r="C110" s="8" t="n">
        <v>25000</v>
      </c>
    </row>
    <row r="111" customFormat="false" ht="15" hidden="false" customHeight="false" outlineLevel="0" collapsed="false">
      <c r="A111" s="7" t="s">
        <v>135</v>
      </c>
      <c r="B111" s="7" t="s">
        <v>25</v>
      </c>
      <c r="C111" s="8" t="n">
        <v>35000</v>
      </c>
    </row>
    <row r="112" customFormat="false" ht="15" hidden="false" customHeight="false" outlineLevel="0" collapsed="false">
      <c r="A112" s="7" t="s">
        <v>136</v>
      </c>
      <c r="B112" s="7" t="s">
        <v>25</v>
      </c>
      <c r="C112" s="8" t="n">
        <v>35000</v>
      </c>
    </row>
    <row r="113" customFormat="false" ht="15" hidden="false" customHeight="false" outlineLevel="0" collapsed="false">
      <c r="A113" s="7" t="s">
        <v>137</v>
      </c>
      <c r="B113" s="7" t="s">
        <v>25</v>
      </c>
      <c r="C113" s="8" t="n">
        <v>35000</v>
      </c>
    </row>
    <row r="114" customFormat="false" ht="15" hidden="false" customHeight="false" outlineLevel="0" collapsed="false">
      <c r="A114" s="7" t="s">
        <v>138</v>
      </c>
      <c r="B114" s="7" t="s">
        <v>25</v>
      </c>
      <c r="C114" s="8" t="n">
        <v>35000</v>
      </c>
    </row>
    <row r="115" customFormat="false" ht="15" hidden="false" customHeight="false" outlineLevel="0" collapsed="false">
      <c r="A115" s="7" t="s">
        <v>139</v>
      </c>
      <c r="B115" s="7" t="s">
        <v>29</v>
      </c>
      <c r="C115" s="8" t="n">
        <v>25000</v>
      </c>
    </row>
    <row r="116" customFormat="false" ht="15" hidden="false" customHeight="false" outlineLevel="0" collapsed="false">
      <c r="A116" s="7" t="s">
        <v>140</v>
      </c>
      <c r="B116" s="7" t="s">
        <v>27</v>
      </c>
      <c r="C116" s="8" t="n">
        <v>80000</v>
      </c>
    </row>
    <row r="117" customFormat="false" ht="15" hidden="false" customHeight="false" outlineLevel="0" collapsed="false">
      <c r="A117" s="7" t="s">
        <v>141</v>
      </c>
      <c r="B117" s="7" t="s">
        <v>25</v>
      </c>
      <c r="C117" s="8" t="n">
        <v>35000</v>
      </c>
    </row>
    <row r="118" customFormat="false" ht="15" hidden="false" customHeight="false" outlineLevel="0" collapsed="false">
      <c r="A118" s="7" t="s">
        <v>142</v>
      </c>
      <c r="B118" s="7" t="s">
        <v>23</v>
      </c>
      <c r="C118" s="8" t="n">
        <v>55000</v>
      </c>
    </row>
    <row r="119" customFormat="false" ht="15" hidden="false" customHeight="false" outlineLevel="0" collapsed="false">
      <c r="A119" s="7" t="s">
        <v>143</v>
      </c>
      <c r="B119" s="7" t="s">
        <v>23</v>
      </c>
      <c r="C119" s="8" t="n">
        <v>55000</v>
      </c>
    </row>
    <row r="120" customFormat="false" ht="15" hidden="false" customHeight="false" outlineLevel="0" collapsed="false">
      <c r="A120" s="7" t="s">
        <v>144</v>
      </c>
      <c r="B120" s="7" t="s">
        <v>29</v>
      </c>
      <c r="C120" s="8" t="n">
        <v>25000</v>
      </c>
    </row>
    <row r="121" customFormat="false" ht="15" hidden="false" customHeight="false" outlineLevel="0" collapsed="false">
      <c r="A121" s="7" t="s">
        <v>145</v>
      </c>
      <c r="B121" s="7" t="s">
        <v>25</v>
      </c>
      <c r="C121" s="8" t="n">
        <v>35000</v>
      </c>
    </row>
    <row r="122" customFormat="false" ht="15" hidden="false" customHeight="false" outlineLevel="0" collapsed="false">
      <c r="A122" s="7" t="s">
        <v>146</v>
      </c>
      <c r="B122" s="7" t="s">
        <v>27</v>
      </c>
      <c r="C122" s="8" t="n">
        <v>80000</v>
      </c>
    </row>
    <row r="123" customFormat="false" ht="15" hidden="false" customHeight="false" outlineLevel="0" collapsed="false">
      <c r="A123" s="7" t="s">
        <v>147</v>
      </c>
      <c r="B123" s="7" t="s">
        <v>23</v>
      </c>
      <c r="C123" s="8" t="n">
        <v>55000</v>
      </c>
    </row>
    <row r="124" customFormat="false" ht="15" hidden="false" customHeight="false" outlineLevel="0" collapsed="false">
      <c r="A124" s="7" t="s">
        <v>148</v>
      </c>
      <c r="B124" s="7" t="s">
        <v>23</v>
      </c>
      <c r="C124" s="8" t="n">
        <v>55000</v>
      </c>
    </row>
    <row r="125" customFormat="false" ht="15" hidden="false" customHeight="false" outlineLevel="0" collapsed="false">
      <c r="A125" s="7" t="s">
        <v>149</v>
      </c>
      <c r="B125" s="7" t="s">
        <v>25</v>
      </c>
      <c r="C125" s="8" t="n">
        <v>35000</v>
      </c>
    </row>
    <row r="126" customFormat="false" ht="15" hidden="false" customHeight="false" outlineLevel="0" collapsed="false">
      <c r="A126" s="7" t="s">
        <v>150</v>
      </c>
      <c r="B126" s="7" t="s">
        <v>29</v>
      </c>
      <c r="C126" s="8" t="n">
        <v>25000</v>
      </c>
    </row>
    <row r="127" customFormat="false" ht="15" hidden="false" customHeight="false" outlineLevel="0" collapsed="false">
      <c r="A127" s="7" t="s">
        <v>151</v>
      </c>
      <c r="B127" s="7" t="s">
        <v>27</v>
      </c>
      <c r="C127" s="8" t="n">
        <v>80000</v>
      </c>
    </row>
    <row r="128" customFormat="false" ht="15" hidden="false" customHeight="false" outlineLevel="0" collapsed="false">
      <c r="A128" s="7" t="s">
        <v>152</v>
      </c>
      <c r="B128" s="7" t="s">
        <v>27</v>
      </c>
      <c r="C128" s="8" t="n">
        <v>80000</v>
      </c>
    </row>
    <row r="129" customFormat="false" ht="15" hidden="false" customHeight="false" outlineLevel="0" collapsed="false">
      <c r="A129" s="7" t="s">
        <v>153</v>
      </c>
      <c r="B129" s="7" t="s">
        <v>27</v>
      </c>
      <c r="C129" s="8" t="n">
        <v>80000</v>
      </c>
    </row>
    <row r="130" customFormat="false" ht="15" hidden="false" customHeight="false" outlineLevel="0" collapsed="false">
      <c r="A130" s="7" t="s">
        <v>154</v>
      </c>
      <c r="B130" s="7" t="s">
        <v>27</v>
      </c>
      <c r="C130" s="8" t="n">
        <v>80000</v>
      </c>
    </row>
    <row r="131" customFormat="false" ht="15" hidden="false" customHeight="false" outlineLevel="0" collapsed="false">
      <c r="A131" s="7" t="s">
        <v>155</v>
      </c>
      <c r="B131" s="7" t="s">
        <v>27</v>
      </c>
      <c r="C131" s="8" t="n">
        <v>80000</v>
      </c>
    </row>
    <row r="132" customFormat="false" ht="15" hidden="false" customHeight="false" outlineLevel="0" collapsed="false">
      <c r="A132" s="7" t="s">
        <v>156</v>
      </c>
      <c r="B132" s="7" t="s">
        <v>29</v>
      </c>
      <c r="C132" s="8" t="n">
        <v>25000</v>
      </c>
    </row>
    <row r="133" customFormat="false" ht="15" hidden="false" customHeight="false" outlineLevel="0" collapsed="false">
      <c r="A133" s="7" t="s">
        <v>157</v>
      </c>
      <c r="B133" s="7" t="s">
        <v>27</v>
      </c>
      <c r="C133" s="8" t="n">
        <v>80000</v>
      </c>
    </row>
    <row r="134" customFormat="false" ht="15" hidden="false" customHeight="false" outlineLevel="0" collapsed="false">
      <c r="A134" s="7" t="s">
        <v>158</v>
      </c>
      <c r="B134" s="7" t="s">
        <v>27</v>
      </c>
      <c r="C134" s="8" t="n">
        <v>80000</v>
      </c>
    </row>
    <row r="135" customFormat="false" ht="15" hidden="false" customHeight="false" outlineLevel="0" collapsed="false">
      <c r="A135" s="7" t="s">
        <v>159</v>
      </c>
      <c r="B135" s="7" t="s">
        <v>29</v>
      </c>
      <c r="C135" s="8" t="n">
        <v>25000</v>
      </c>
    </row>
    <row r="136" customFormat="false" ht="15" hidden="false" customHeight="false" outlineLevel="0" collapsed="false">
      <c r="A136" s="7" t="s">
        <v>160</v>
      </c>
      <c r="B136" s="7" t="s">
        <v>25</v>
      </c>
      <c r="C136" s="8" t="n">
        <v>35000</v>
      </c>
    </row>
    <row r="137" customFormat="false" ht="15" hidden="false" customHeight="false" outlineLevel="0" collapsed="false">
      <c r="A137" s="7" t="s">
        <v>161</v>
      </c>
      <c r="B137" s="7" t="s">
        <v>29</v>
      </c>
      <c r="C137" s="8" t="n">
        <v>25000</v>
      </c>
    </row>
    <row r="138" customFormat="false" ht="15" hidden="false" customHeight="false" outlineLevel="0" collapsed="false">
      <c r="A138" s="7" t="s">
        <v>162</v>
      </c>
      <c r="B138" s="7" t="s">
        <v>25</v>
      </c>
      <c r="C138" s="8" t="n">
        <v>35000</v>
      </c>
    </row>
    <row r="139" customFormat="false" ht="15" hidden="false" customHeight="false" outlineLevel="0" collapsed="false">
      <c r="A139" s="7" t="s">
        <v>163</v>
      </c>
      <c r="B139" s="7" t="s">
        <v>27</v>
      </c>
      <c r="C139" s="8" t="n">
        <v>80000</v>
      </c>
    </row>
    <row r="140" customFormat="false" ht="15" hidden="false" customHeight="false" outlineLevel="0" collapsed="false">
      <c r="A140" s="7" t="s">
        <v>164</v>
      </c>
      <c r="B140" s="7" t="s">
        <v>25</v>
      </c>
      <c r="C140" s="8" t="n">
        <v>35000</v>
      </c>
    </row>
    <row r="141" customFormat="false" ht="15" hidden="false" customHeight="false" outlineLevel="0" collapsed="false">
      <c r="A141" s="7" t="s">
        <v>165</v>
      </c>
      <c r="B141" s="7" t="s">
        <v>29</v>
      </c>
      <c r="C141" s="8" t="n">
        <v>25000</v>
      </c>
    </row>
    <row r="142" customFormat="false" ht="15" hidden="false" customHeight="false" outlineLevel="0" collapsed="false">
      <c r="A142" s="7" t="s">
        <v>166</v>
      </c>
      <c r="B142" s="7" t="s">
        <v>23</v>
      </c>
      <c r="C142" s="8" t="n">
        <v>55000</v>
      </c>
    </row>
    <row r="143" customFormat="false" ht="15" hidden="false" customHeight="false" outlineLevel="0" collapsed="false">
      <c r="A143" s="7" t="s">
        <v>167</v>
      </c>
      <c r="B143" s="7" t="s">
        <v>29</v>
      </c>
      <c r="C143" s="8" t="n">
        <v>25000</v>
      </c>
    </row>
    <row r="144" customFormat="false" ht="15" hidden="false" customHeight="false" outlineLevel="0" collapsed="false">
      <c r="A144" s="7" t="s">
        <v>168</v>
      </c>
      <c r="B144" s="7" t="s">
        <v>29</v>
      </c>
      <c r="C144" s="8" t="n">
        <v>25000</v>
      </c>
    </row>
    <row r="145" customFormat="false" ht="15" hidden="false" customHeight="false" outlineLevel="0" collapsed="false">
      <c r="A145" s="7" t="s">
        <v>169</v>
      </c>
      <c r="B145" s="7" t="s">
        <v>29</v>
      </c>
      <c r="C145" s="8" t="n">
        <v>25000</v>
      </c>
    </row>
    <row r="146" customFormat="false" ht="15" hidden="false" customHeight="false" outlineLevel="0" collapsed="false">
      <c r="A146" s="7" t="s">
        <v>170</v>
      </c>
      <c r="B146" s="7" t="s">
        <v>25</v>
      </c>
      <c r="C146" s="8" t="n">
        <v>35000</v>
      </c>
    </row>
    <row r="147" customFormat="false" ht="15" hidden="false" customHeight="false" outlineLevel="0" collapsed="false">
      <c r="A147" s="7" t="s">
        <v>171</v>
      </c>
      <c r="B147" s="7" t="s">
        <v>29</v>
      </c>
      <c r="C147" s="8" t="n">
        <v>25000</v>
      </c>
    </row>
    <row r="148" customFormat="false" ht="15" hidden="false" customHeight="false" outlineLevel="0" collapsed="false">
      <c r="A148" s="7" t="s">
        <v>172</v>
      </c>
      <c r="B148" s="7" t="s">
        <v>23</v>
      </c>
      <c r="C148" s="8" t="n">
        <v>55000</v>
      </c>
    </row>
    <row r="149" customFormat="false" ht="15" hidden="false" customHeight="false" outlineLevel="0" collapsed="false">
      <c r="A149" s="7" t="s">
        <v>173</v>
      </c>
      <c r="B149" s="7" t="s">
        <v>29</v>
      </c>
      <c r="C149" s="8" t="n">
        <v>25000</v>
      </c>
    </row>
    <row r="150" customFormat="false" ht="15" hidden="false" customHeight="false" outlineLevel="0" collapsed="false">
      <c r="A150" s="7" t="s">
        <v>174</v>
      </c>
      <c r="B150" s="7" t="s">
        <v>29</v>
      </c>
      <c r="C150" s="8" t="n">
        <v>25000</v>
      </c>
    </row>
    <row r="151" customFormat="false" ht="15" hidden="false" customHeight="false" outlineLevel="0" collapsed="false">
      <c r="A151" s="7" t="s">
        <v>175</v>
      </c>
      <c r="B151" s="7" t="s">
        <v>25</v>
      </c>
      <c r="C151" s="8" t="n">
        <v>35000</v>
      </c>
    </row>
    <row r="152" customFormat="false" ht="15" hidden="false" customHeight="false" outlineLevel="0" collapsed="false">
      <c r="A152" s="7" t="s">
        <v>176</v>
      </c>
      <c r="B152" s="7" t="s">
        <v>27</v>
      </c>
      <c r="C152" s="8" t="n">
        <v>80000</v>
      </c>
    </row>
    <row r="153" customFormat="false" ht="15" hidden="false" customHeight="false" outlineLevel="0" collapsed="false">
      <c r="A153" s="7" t="s">
        <v>177</v>
      </c>
      <c r="B153" s="7" t="s">
        <v>25</v>
      </c>
      <c r="C153" s="8" t="n">
        <v>35000</v>
      </c>
    </row>
    <row r="154" customFormat="false" ht="15" hidden="false" customHeight="false" outlineLevel="0" collapsed="false">
      <c r="A154" s="7" t="s">
        <v>178</v>
      </c>
      <c r="B154" s="7" t="s">
        <v>23</v>
      </c>
      <c r="C154" s="8" t="n">
        <v>55000</v>
      </c>
    </row>
    <row r="155" customFormat="false" ht="15" hidden="false" customHeight="false" outlineLevel="0" collapsed="false">
      <c r="A155" s="7" t="s">
        <v>179</v>
      </c>
      <c r="B155" s="7" t="s">
        <v>23</v>
      </c>
      <c r="C155" s="8" t="n">
        <v>55000</v>
      </c>
    </row>
    <row r="156" customFormat="false" ht="15" hidden="false" customHeight="false" outlineLevel="0" collapsed="false">
      <c r="A156" s="7" t="s">
        <v>180</v>
      </c>
      <c r="B156" s="7" t="s">
        <v>23</v>
      </c>
      <c r="C156" s="8" t="n">
        <v>55000</v>
      </c>
    </row>
    <row r="157" customFormat="false" ht="15" hidden="false" customHeight="false" outlineLevel="0" collapsed="false">
      <c r="A157" s="7" t="s">
        <v>181</v>
      </c>
      <c r="B157" s="7" t="s">
        <v>27</v>
      </c>
      <c r="C157" s="8" t="n">
        <v>80000</v>
      </c>
    </row>
    <row r="158" customFormat="false" ht="15" hidden="false" customHeight="false" outlineLevel="0" collapsed="false">
      <c r="A158" s="7" t="s">
        <v>182</v>
      </c>
      <c r="B158" s="7" t="s">
        <v>29</v>
      </c>
      <c r="C158" s="8" t="n">
        <v>25000</v>
      </c>
    </row>
    <row r="159" customFormat="false" ht="15" hidden="false" customHeight="false" outlineLevel="0" collapsed="false">
      <c r="A159" s="7" t="s">
        <v>183</v>
      </c>
      <c r="B159" s="7" t="s">
        <v>29</v>
      </c>
      <c r="C159" s="8" t="n">
        <v>25000</v>
      </c>
    </row>
    <row r="160" customFormat="false" ht="15" hidden="false" customHeight="false" outlineLevel="0" collapsed="false">
      <c r="A160" s="7" t="s">
        <v>184</v>
      </c>
      <c r="B160" s="7" t="s">
        <v>27</v>
      </c>
      <c r="C160" s="8" t="n">
        <v>80000</v>
      </c>
    </row>
    <row r="161" customFormat="false" ht="15" hidden="false" customHeight="false" outlineLevel="0" collapsed="false">
      <c r="A161" s="7" t="s">
        <v>185</v>
      </c>
      <c r="B161" s="7" t="s">
        <v>27</v>
      </c>
      <c r="C161" s="8" t="n">
        <v>80000</v>
      </c>
    </row>
    <row r="162" customFormat="false" ht="15" hidden="false" customHeight="false" outlineLevel="0" collapsed="false">
      <c r="A162" s="7" t="s">
        <v>186</v>
      </c>
      <c r="B162" s="7" t="s">
        <v>27</v>
      </c>
      <c r="C162" s="8" t="n">
        <v>80000</v>
      </c>
    </row>
    <row r="163" customFormat="false" ht="15" hidden="false" customHeight="false" outlineLevel="0" collapsed="false">
      <c r="A163" s="7" t="s">
        <v>187</v>
      </c>
      <c r="B163" s="7" t="s">
        <v>27</v>
      </c>
      <c r="C163" s="8" t="n">
        <v>80000</v>
      </c>
    </row>
    <row r="164" customFormat="false" ht="15" hidden="false" customHeight="false" outlineLevel="0" collapsed="false">
      <c r="A164" s="7" t="s">
        <v>188</v>
      </c>
      <c r="B164" s="7" t="s">
        <v>23</v>
      </c>
      <c r="C164" s="8" t="n">
        <v>55000</v>
      </c>
    </row>
    <row r="165" customFormat="false" ht="15" hidden="false" customHeight="false" outlineLevel="0" collapsed="false">
      <c r="A165" s="7" t="s">
        <v>189</v>
      </c>
      <c r="B165" s="7" t="s">
        <v>29</v>
      </c>
      <c r="C165" s="8" t="n">
        <v>25000</v>
      </c>
    </row>
    <row r="166" customFormat="false" ht="15" hidden="false" customHeight="false" outlineLevel="0" collapsed="false">
      <c r="A166" s="7" t="s">
        <v>190</v>
      </c>
      <c r="B166" s="7" t="s">
        <v>25</v>
      </c>
      <c r="C166" s="8" t="n">
        <v>35000</v>
      </c>
    </row>
    <row r="167" customFormat="false" ht="15" hidden="false" customHeight="false" outlineLevel="0" collapsed="false">
      <c r="A167" s="7" t="s">
        <v>191</v>
      </c>
      <c r="B167" s="7" t="s">
        <v>29</v>
      </c>
      <c r="C167" s="8" t="n">
        <v>25000</v>
      </c>
    </row>
    <row r="168" customFormat="false" ht="15" hidden="false" customHeight="false" outlineLevel="0" collapsed="false">
      <c r="A168" s="7" t="s">
        <v>192</v>
      </c>
      <c r="B168" s="7" t="s">
        <v>23</v>
      </c>
      <c r="C168" s="8" t="n">
        <v>55000</v>
      </c>
    </row>
    <row r="169" customFormat="false" ht="15" hidden="false" customHeight="false" outlineLevel="0" collapsed="false">
      <c r="A169" s="7" t="s">
        <v>193</v>
      </c>
      <c r="B169" s="7" t="s">
        <v>23</v>
      </c>
      <c r="C169" s="8" t="n">
        <v>55000</v>
      </c>
    </row>
    <row r="170" customFormat="false" ht="15" hidden="false" customHeight="false" outlineLevel="0" collapsed="false">
      <c r="A170" s="7" t="s">
        <v>194</v>
      </c>
      <c r="B170" s="7" t="s">
        <v>27</v>
      </c>
      <c r="C170" s="8" t="n">
        <v>80000</v>
      </c>
    </row>
    <row r="171" customFormat="false" ht="15" hidden="false" customHeight="false" outlineLevel="0" collapsed="false">
      <c r="A171" s="7" t="s">
        <v>195</v>
      </c>
      <c r="B171" s="7" t="s">
        <v>25</v>
      </c>
      <c r="C171" s="8" t="n">
        <v>35000</v>
      </c>
    </row>
    <row r="172" customFormat="false" ht="15" hidden="false" customHeight="false" outlineLevel="0" collapsed="false">
      <c r="A172" s="7" t="s">
        <v>196</v>
      </c>
      <c r="B172" s="7" t="s">
        <v>29</v>
      </c>
      <c r="C172" s="8" t="n">
        <v>25000</v>
      </c>
    </row>
    <row r="173" customFormat="false" ht="15" hidden="false" customHeight="false" outlineLevel="0" collapsed="false">
      <c r="A173" s="7" t="s">
        <v>197</v>
      </c>
      <c r="B173" s="7" t="s">
        <v>25</v>
      </c>
      <c r="C173" s="8" t="n">
        <v>35000</v>
      </c>
    </row>
    <row r="174" customFormat="false" ht="15" hidden="false" customHeight="false" outlineLevel="0" collapsed="false">
      <c r="A174" s="7" t="s">
        <v>198</v>
      </c>
      <c r="B174" s="7" t="s">
        <v>23</v>
      </c>
      <c r="C174" s="8" t="n">
        <v>55000</v>
      </c>
    </row>
    <row r="175" customFormat="false" ht="15" hidden="false" customHeight="false" outlineLevel="0" collapsed="false">
      <c r="A175" s="7" t="s">
        <v>199</v>
      </c>
      <c r="B175" s="7" t="s">
        <v>25</v>
      </c>
      <c r="C175" s="8" t="n">
        <v>35000</v>
      </c>
    </row>
    <row r="176" customFormat="false" ht="15" hidden="false" customHeight="false" outlineLevel="0" collapsed="false">
      <c r="A176" s="7" t="s">
        <v>200</v>
      </c>
      <c r="B176" s="7" t="s">
        <v>29</v>
      </c>
      <c r="C176" s="8" t="n">
        <v>25000</v>
      </c>
    </row>
    <row r="177" customFormat="false" ht="15" hidden="false" customHeight="false" outlineLevel="0" collapsed="false">
      <c r="A177" s="7" t="s">
        <v>201</v>
      </c>
      <c r="B177" s="7" t="s">
        <v>23</v>
      </c>
      <c r="C177" s="8" t="n">
        <v>55000</v>
      </c>
    </row>
    <row r="178" customFormat="false" ht="15" hidden="false" customHeight="false" outlineLevel="0" collapsed="false">
      <c r="A178" s="7" t="s">
        <v>202</v>
      </c>
      <c r="B178" s="7" t="s">
        <v>29</v>
      </c>
      <c r="C178" s="8" t="n">
        <v>25000</v>
      </c>
    </row>
    <row r="179" customFormat="false" ht="15" hidden="false" customHeight="false" outlineLevel="0" collapsed="false">
      <c r="A179" s="7" t="s">
        <v>203</v>
      </c>
      <c r="B179" s="7" t="s">
        <v>23</v>
      </c>
      <c r="C179" s="8" t="n">
        <v>55000</v>
      </c>
    </row>
    <row r="180" customFormat="false" ht="15" hidden="false" customHeight="false" outlineLevel="0" collapsed="false">
      <c r="A180" s="7" t="s">
        <v>204</v>
      </c>
      <c r="B180" s="7" t="s">
        <v>23</v>
      </c>
      <c r="C180" s="8" t="n">
        <v>55000</v>
      </c>
    </row>
    <row r="181" customFormat="false" ht="15" hidden="false" customHeight="false" outlineLevel="0" collapsed="false">
      <c r="A181" s="7" t="s">
        <v>205</v>
      </c>
      <c r="B181" s="7" t="s">
        <v>25</v>
      </c>
      <c r="C181" s="8" t="n">
        <v>35000</v>
      </c>
    </row>
    <row r="182" customFormat="false" ht="15" hidden="false" customHeight="false" outlineLevel="0" collapsed="false">
      <c r="A182" s="7" t="s">
        <v>206</v>
      </c>
      <c r="B182" s="7" t="s">
        <v>23</v>
      </c>
      <c r="C182" s="8" t="n">
        <v>55000</v>
      </c>
    </row>
    <row r="183" customFormat="false" ht="15" hidden="false" customHeight="false" outlineLevel="0" collapsed="false">
      <c r="A183" s="7" t="s">
        <v>207</v>
      </c>
      <c r="B183" s="7" t="s">
        <v>25</v>
      </c>
      <c r="C183" s="8" t="n">
        <v>35000</v>
      </c>
    </row>
    <row r="184" customFormat="false" ht="15" hidden="false" customHeight="false" outlineLevel="0" collapsed="false">
      <c r="A184" s="7" t="s">
        <v>208</v>
      </c>
      <c r="B184" s="7" t="s">
        <v>23</v>
      </c>
      <c r="C184" s="8" t="n">
        <v>55000</v>
      </c>
    </row>
    <row r="185" customFormat="false" ht="15" hidden="false" customHeight="false" outlineLevel="0" collapsed="false">
      <c r="A185" s="7" t="s">
        <v>209</v>
      </c>
      <c r="B185" s="7" t="s">
        <v>25</v>
      </c>
      <c r="C185" s="8" t="n">
        <v>35000</v>
      </c>
    </row>
    <row r="186" customFormat="false" ht="15" hidden="false" customHeight="false" outlineLevel="0" collapsed="false">
      <c r="A186" s="7" t="s">
        <v>210</v>
      </c>
      <c r="B186" s="7" t="s">
        <v>25</v>
      </c>
      <c r="C186" s="8" t="n">
        <v>35000</v>
      </c>
    </row>
    <row r="187" customFormat="false" ht="15" hidden="false" customHeight="false" outlineLevel="0" collapsed="false">
      <c r="A187" s="7" t="s">
        <v>211</v>
      </c>
      <c r="B187" s="7" t="s">
        <v>25</v>
      </c>
      <c r="C187" s="8" t="n">
        <v>35000</v>
      </c>
    </row>
    <row r="188" customFormat="false" ht="15" hidden="false" customHeight="false" outlineLevel="0" collapsed="false">
      <c r="A188" s="7" t="s">
        <v>212</v>
      </c>
      <c r="B188" s="7" t="s">
        <v>27</v>
      </c>
      <c r="C188" s="8" t="n">
        <v>80000</v>
      </c>
    </row>
    <row r="189" customFormat="false" ht="15" hidden="false" customHeight="false" outlineLevel="0" collapsed="false">
      <c r="A189" s="7" t="s">
        <v>213</v>
      </c>
      <c r="B189" s="7" t="s">
        <v>25</v>
      </c>
      <c r="C189" s="8" t="n">
        <v>35000</v>
      </c>
    </row>
    <row r="190" customFormat="false" ht="15" hidden="false" customHeight="false" outlineLevel="0" collapsed="false">
      <c r="A190" s="7" t="s">
        <v>214</v>
      </c>
      <c r="B190" s="7" t="s">
        <v>25</v>
      </c>
      <c r="C190" s="8" t="n">
        <v>35000</v>
      </c>
    </row>
    <row r="191" customFormat="false" ht="15" hidden="false" customHeight="false" outlineLevel="0" collapsed="false">
      <c r="A191" s="7" t="s">
        <v>215</v>
      </c>
      <c r="B191" s="7" t="s">
        <v>27</v>
      </c>
      <c r="C191" s="8" t="n">
        <v>80000</v>
      </c>
    </row>
    <row r="192" customFormat="false" ht="15" hidden="false" customHeight="false" outlineLevel="0" collapsed="false">
      <c r="A192" s="7" t="s">
        <v>216</v>
      </c>
      <c r="B192" s="7" t="s">
        <v>23</v>
      </c>
      <c r="C192" s="8" t="n">
        <v>55000</v>
      </c>
    </row>
    <row r="193" customFormat="false" ht="15" hidden="false" customHeight="false" outlineLevel="0" collapsed="false">
      <c r="A193" s="7" t="s">
        <v>217</v>
      </c>
      <c r="B193" s="7" t="s">
        <v>29</v>
      </c>
      <c r="C193" s="8" t="n">
        <v>25000</v>
      </c>
    </row>
    <row r="194" customFormat="false" ht="15" hidden="false" customHeight="false" outlineLevel="0" collapsed="false">
      <c r="A194" s="7" t="s">
        <v>218</v>
      </c>
      <c r="B194" s="7" t="s">
        <v>29</v>
      </c>
      <c r="C194" s="8" t="n">
        <v>25000</v>
      </c>
    </row>
    <row r="195" customFormat="false" ht="15" hidden="false" customHeight="false" outlineLevel="0" collapsed="false">
      <c r="A195" s="7" t="s">
        <v>219</v>
      </c>
      <c r="B195" s="7" t="s">
        <v>23</v>
      </c>
      <c r="C195" s="8" t="n">
        <v>55000</v>
      </c>
    </row>
    <row r="196" customFormat="false" ht="15" hidden="false" customHeight="false" outlineLevel="0" collapsed="false">
      <c r="A196" s="7" t="s">
        <v>220</v>
      </c>
      <c r="B196" s="7" t="s">
        <v>27</v>
      </c>
      <c r="C196" s="8" t="n">
        <v>80000</v>
      </c>
    </row>
    <row r="197" customFormat="false" ht="15" hidden="false" customHeight="false" outlineLevel="0" collapsed="false">
      <c r="A197" s="7" t="s">
        <v>221</v>
      </c>
      <c r="B197" s="7" t="s">
        <v>23</v>
      </c>
      <c r="C197" s="8" t="n">
        <v>55000</v>
      </c>
    </row>
    <row r="198" customFormat="false" ht="15" hidden="false" customHeight="false" outlineLevel="0" collapsed="false">
      <c r="A198" s="7" t="s">
        <v>222</v>
      </c>
      <c r="B198" s="7" t="s">
        <v>25</v>
      </c>
      <c r="C198" s="8" t="n">
        <v>35000</v>
      </c>
    </row>
    <row r="199" customFormat="false" ht="15" hidden="false" customHeight="false" outlineLevel="0" collapsed="false">
      <c r="A199" s="7" t="s">
        <v>223</v>
      </c>
      <c r="B199" s="7" t="s">
        <v>23</v>
      </c>
      <c r="C199" s="8" t="n">
        <v>55000</v>
      </c>
    </row>
    <row r="200" customFormat="false" ht="15" hidden="false" customHeight="false" outlineLevel="0" collapsed="false">
      <c r="A200" s="7" t="s">
        <v>224</v>
      </c>
      <c r="B200" s="7" t="s">
        <v>27</v>
      </c>
      <c r="C200" s="8" t="n">
        <v>80000</v>
      </c>
    </row>
    <row r="201" customFormat="false" ht="15" hidden="false" customHeight="false" outlineLevel="0" collapsed="false">
      <c r="A201" s="7" t="s">
        <v>225</v>
      </c>
      <c r="B201" s="7" t="s">
        <v>23</v>
      </c>
      <c r="C201" s="8" t="n">
        <v>55000</v>
      </c>
    </row>
    <row r="202" customFormat="false" ht="15" hidden="false" customHeight="false" outlineLevel="0" collapsed="false">
      <c r="A202" s="7" t="s">
        <v>226</v>
      </c>
      <c r="B202" s="7" t="s">
        <v>23</v>
      </c>
      <c r="C202" s="8" t="n">
        <v>55000</v>
      </c>
    </row>
    <row r="203" customFormat="false" ht="15" hidden="false" customHeight="false" outlineLevel="0" collapsed="false">
      <c r="A203" s="7" t="s">
        <v>227</v>
      </c>
      <c r="B203" s="7" t="s">
        <v>29</v>
      </c>
      <c r="C203" s="8" t="n">
        <v>25000</v>
      </c>
    </row>
    <row r="204" customFormat="false" ht="15" hidden="false" customHeight="false" outlineLevel="0" collapsed="false">
      <c r="A204" s="7" t="s">
        <v>228</v>
      </c>
      <c r="B204" s="7" t="s">
        <v>25</v>
      </c>
      <c r="C204" s="8" t="n">
        <v>35000</v>
      </c>
    </row>
    <row r="205" customFormat="false" ht="15" hidden="false" customHeight="false" outlineLevel="0" collapsed="false">
      <c r="A205" s="7" t="s">
        <v>229</v>
      </c>
      <c r="B205" s="7" t="s">
        <v>29</v>
      </c>
      <c r="C205" s="8" t="n">
        <v>25000</v>
      </c>
    </row>
    <row r="206" customFormat="false" ht="15" hidden="false" customHeight="false" outlineLevel="0" collapsed="false">
      <c r="A206" s="7" t="s">
        <v>230</v>
      </c>
      <c r="B206" s="7" t="s">
        <v>25</v>
      </c>
      <c r="C206" s="8" t="n">
        <v>35000</v>
      </c>
    </row>
    <row r="207" customFormat="false" ht="15" hidden="false" customHeight="false" outlineLevel="0" collapsed="false">
      <c r="A207" s="7" t="s">
        <v>231</v>
      </c>
      <c r="B207" s="7" t="s">
        <v>27</v>
      </c>
      <c r="C207" s="8" t="n">
        <v>80000</v>
      </c>
    </row>
    <row r="208" customFormat="false" ht="15" hidden="false" customHeight="false" outlineLevel="0" collapsed="false">
      <c r="A208" s="7" t="s">
        <v>232</v>
      </c>
      <c r="B208" s="7" t="s">
        <v>25</v>
      </c>
      <c r="C208" s="8" t="n">
        <v>35000</v>
      </c>
    </row>
    <row r="209" customFormat="false" ht="15" hidden="false" customHeight="false" outlineLevel="0" collapsed="false">
      <c r="A209" s="7" t="s">
        <v>233</v>
      </c>
      <c r="B209" s="7" t="s">
        <v>23</v>
      </c>
      <c r="C209" s="8" t="n">
        <v>55000</v>
      </c>
    </row>
    <row r="210" customFormat="false" ht="15" hidden="false" customHeight="false" outlineLevel="0" collapsed="false">
      <c r="A210" s="7" t="s">
        <v>234</v>
      </c>
      <c r="B210" s="7" t="s">
        <v>25</v>
      </c>
      <c r="C210" s="8" t="n">
        <v>35000</v>
      </c>
    </row>
    <row r="211" customFormat="false" ht="15" hidden="false" customHeight="false" outlineLevel="0" collapsed="false">
      <c r="A211" s="7" t="s">
        <v>235</v>
      </c>
      <c r="B211" s="7" t="s">
        <v>27</v>
      </c>
      <c r="C211" s="8" t="n">
        <v>80000</v>
      </c>
    </row>
    <row r="212" customFormat="false" ht="15" hidden="false" customHeight="false" outlineLevel="0" collapsed="false">
      <c r="A212" s="7" t="s">
        <v>236</v>
      </c>
      <c r="B212" s="7" t="s">
        <v>29</v>
      </c>
      <c r="C212" s="8" t="n">
        <v>25000</v>
      </c>
    </row>
    <row r="213" customFormat="false" ht="15" hidden="false" customHeight="false" outlineLevel="0" collapsed="false">
      <c r="A213" s="7" t="s">
        <v>237</v>
      </c>
      <c r="B213" s="7" t="s">
        <v>27</v>
      </c>
      <c r="C213" s="8" t="n">
        <v>80000</v>
      </c>
    </row>
    <row r="214" customFormat="false" ht="15" hidden="false" customHeight="false" outlineLevel="0" collapsed="false">
      <c r="A214" s="7" t="s">
        <v>238</v>
      </c>
      <c r="B214" s="7" t="s">
        <v>23</v>
      </c>
      <c r="C214" s="8" t="n">
        <v>55000</v>
      </c>
    </row>
    <row r="215" customFormat="false" ht="15" hidden="false" customHeight="false" outlineLevel="0" collapsed="false">
      <c r="A215" s="7" t="s">
        <v>239</v>
      </c>
      <c r="B215" s="7" t="s">
        <v>29</v>
      </c>
      <c r="C215" s="8" t="n">
        <v>25000</v>
      </c>
    </row>
    <row r="216" customFormat="false" ht="15" hidden="false" customHeight="false" outlineLevel="0" collapsed="false">
      <c r="A216" s="7" t="s">
        <v>240</v>
      </c>
      <c r="B216" s="7" t="s">
        <v>29</v>
      </c>
      <c r="C216" s="8" t="n">
        <v>25000</v>
      </c>
    </row>
    <row r="217" customFormat="false" ht="15" hidden="false" customHeight="false" outlineLevel="0" collapsed="false">
      <c r="A217" s="7" t="s">
        <v>241</v>
      </c>
      <c r="B217" s="7" t="s">
        <v>27</v>
      </c>
      <c r="C217" s="8" t="n">
        <v>80000</v>
      </c>
    </row>
    <row r="218" customFormat="false" ht="15" hidden="false" customHeight="false" outlineLevel="0" collapsed="false">
      <c r="A218" s="7" t="s">
        <v>242</v>
      </c>
      <c r="B218" s="7" t="s">
        <v>25</v>
      </c>
      <c r="C218" s="8" t="n">
        <v>35000</v>
      </c>
    </row>
    <row r="219" customFormat="false" ht="15" hidden="false" customHeight="false" outlineLevel="0" collapsed="false">
      <c r="A219" s="7" t="s">
        <v>243</v>
      </c>
      <c r="B219" s="7" t="s">
        <v>27</v>
      </c>
      <c r="C219" s="8" t="n">
        <v>80000</v>
      </c>
    </row>
    <row r="220" customFormat="false" ht="15" hidden="false" customHeight="false" outlineLevel="0" collapsed="false">
      <c r="A220" s="7" t="s">
        <v>244</v>
      </c>
      <c r="B220" s="7" t="s">
        <v>25</v>
      </c>
      <c r="C220" s="8" t="n">
        <v>35000</v>
      </c>
    </row>
    <row r="221" customFormat="false" ht="15" hidden="false" customHeight="false" outlineLevel="0" collapsed="false">
      <c r="A221" s="7" t="s">
        <v>245</v>
      </c>
      <c r="B221" s="7" t="s">
        <v>27</v>
      </c>
      <c r="C221" s="8" t="n">
        <v>80000</v>
      </c>
    </row>
    <row r="222" customFormat="false" ht="15" hidden="false" customHeight="false" outlineLevel="0" collapsed="false">
      <c r="A222" s="7" t="s">
        <v>246</v>
      </c>
      <c r="B222" s="7" t="s">
        <v>23</v>
      </c>
      <c r="C222" s="8" t="n">
        <v>55000</v>
      </c>
    </row>
    <row r="223" customFormat="false" ht="15" hidden="false" customHeight="false" outlineLevel="0" collapsed="false">
      <c r="A223" s="7" t="s">
        <v>247</v>
      </c>
      <c r="B223" s="7" t="s">
        <v>29</v>
      </c>
      <c r="C223" s="8" t="n">
        <v>25000</v>
      </c>
    </row>
    <row r="224" customFormat="false" ht="15" hidden="false" customHeight="false" outlineLevel="0" collapsed="false">
      <c r="A224" s="7" t="s">
        <v>248</v>
      </c>
      <c r="B224" s="7" t="s">
        <v>27</v>
      </c>
      <c r="C224" s="8" t="n">
        <v>80000</v>
      </c>
    </row>
    <row r="225" customFormat="false" ht="15" hidden="false" customHeight="false" outlineLevel="0" collapsed="false">
      <c r="A225" s="7" t="s">
        <v>249</v>
      </c>
      <c r="B225" s="7" t="s">
        <v>27</v>
      </c>
      <c r="C225" s="8" t="n">
        <v>80000</v>
      </c>
    </row>
    <row r="226" customFormat="false" ht="15" hidden="false" customHeight="false" outlineLevel="0" collapsed="false">
      <c r="A226" s="7" t="s">
        <v>250</v>
      </c>
      <c r="B226" s="7" t="s">
        <v>27</v>
      </c>
      <c r="C226" s="8" t="n">
        <v>80000</v>
      </c>
    </row>
    <row r="227" customFormat="false" ht="15" hidden="false" customHeight="false" outlineLevel="0" collapsed="false">
      <c r="A227" s="7" t="s">
        <v>251</v>
      </c>
      <c r="B227" s="7" t="s">
        <v>29</v>
      </c>
      <c r="C227" s="8" t="n">
        <v>25000</v>
      </c>
    </row>
    <row r="228" customFormat="false" ht="15" hidden="false" customHeight="false" outlineLevel="0" collapsed="false">
      <c r="A228" s="7" t="s">
        <v>252</v>
      </c>
      <c r="B228" s="7" t="s">
        <v>25</v>
      </c>
      <c r="C228" s="8" t="n">
        <v>35000</v>
      </c>
    </row>
    <row r="229" customFormat="false" ht="15" hidden="false" customHeight="false" outlineLevel="0" collapsed="false">
      <c r="A229" s="7" t="s">
        <v>253</v>
      </c>
      <c r="B229" s="7" t="s">
        <v>25</v>
      </c>
      <c r="C229" s="8" t="n">
        <v>35000</v>
      </c>
    </row>
    <row r="230" customFormat="false" ht="15" hidden="false" customHeight="false" outlineLevel="0" collapsed="false">
      <c r="A230" s="7" t="s">
        <v>254</v>
      </c>
      <c r="B230" s="7" t="s">
        <v>25</v>
      </c>
      <c r="C230" s="8" t="n">
        <v>35000</v>
      </c>
    </row>
    <row r="231" customFormat="false" ht="15" hidden="false" customHeight="false" outlineLevel="0" collapsed="false">
      <c r="A231" s="7" t="s">
        <v>255</v>
      </c>
      <c r="B231" s="7" t="s">
        <v>29</v>
      </c>
      <c r="C231" s="8" t="n">
        <v>25000</v>
      </c>
    </row>
    <row r="232" customFormat="false" ht="15" hidden="false" customHeight="false" outlineLevel="0" collapsed="false">
      <c r="A232" s="7" t="s">
        <v>256</v>
      </c>
      <c r="B232" s="7" t="s">
        <v>25</v>
      </c>
      <c r="C232" s="8" t="n">
        <v>35000</v>
      </c>
    </row>
    <row r="233" customFormat="false" ht="15" hidden="false" customHeight="false" outlineLevel="0" collapsed="false">
      <c r="A233" s="7" t="s">
        <v>257</v>
      </c>
      <c r="B233" s="7" t="s">
        <v>27</v>
      </c>
      <c r="C233" s="8" t="n">
        <v>80000</v>
      </c>
    </row>
    <row r="234" customFormat="false" ht="15" hidden="false" customHeight="false" outlineLevel="0" collapsed="false">
      <c r="A234" s="7" t="s">
        <v>258</v>
      </c>
      <c r="B234" s="7" t="s">
        <v>25</v>
      </c>
      <c r="C234" s="8" t="n">
        <v>35000</v>
      </c>
    </row>
    <row r="235" customFormat="false" ht="15" hidden="false" customHeight="false" outlineLevel="0" collapsed="false">
      <c r="A235" s="7" t="s">
        <v>259</v>
      </c>
      <c r="B235" s="7" t="s">
        <v>27</v>
      </c>
      <c r="C235" s="8" t="n">
        <v>80000</v>
      </c>
    </row>
    <row r="236" customFormat="false" ht="15" hidden="false" customHeight="false" outlineLevel="0" collapsed="false">
      <c r="A236" s="7" t="s">
        <v>260</v>
      </c>
      <c r="B236" s="7" t="s">
        <v>23</v>
      </c>
      <c r="C236" s="8" t="n">
        <v>55000</v>
      </c>
    </row>
    <row r="237" customFormat="false" ht="15" hidden="false" customHeight="false" outlineLevel="0" collapsed="false">
      <c r="A237" s="7" t="s">
        <v>261</v>
      </c>
      <c r="B237" s="7" t="s">
        <v>25</v>
      </c>
      <c r="C237" s="8" t="n">
        <v>35000</v>
      </c>
    </row>
    <row r="238" customFormat="false" ht="15" hidden="false" customHeight="false" outlineLevel="0" collapsed="false">
      <c r="A238" s="7" t="s">
        <v>262</v>
      </c>
      <c r="B238" s="7" t="s">
        <v>25</v>
      </c>
      <c r="C238" s="8" t="n">
        <v>35000</v>
      </c>
    </row>
    <row r="239" customFormat="false" ht="15" hidden="false" customHeight="false" outlineLevel="0" collapsed="false">
      <c r="A239" s="7" t="s">
        <v>263</v>
      </c>
      <c r="B239" s="7" t="s">
        <v>29</v>
      </c>
      <c r="C239" s="8" t="n">
        <v>25000</v>
      </c>
    </row>
    <row r="240" customFormat="false" ht="15" hidden="false" customHeight="false" outlineLevel="0" collapsed="false">
      <c r="A240" s="7" t="s">
        <v>264</v>
      </c>
      <c r="B240" s="7" t="s">
        <v>29</v>
      </c>
      <c r="C240" s="8" t="n">
        <v>25000</v>
      </c>
    </row>
    <row r="241" customFormat="false" ht="15" hidden="false" customHeight="false" outlineLevel="0" collapsed="false">
      <c r="A241" s="7" t="s">
        <v>265</v>
      </c>
      <c r="B241" s="7" t="s">
        <v>29</v>
      </c>
      <c r="C241" s="8" t="n">
        <v>25000</v>
      </c>
    </row>
    <row r="242" customFormat="false" ht="15" hidden="false" customHeight="false" outlineLevel="0" collapsed="false">
      <c r="A242" s="7" t="s">
        <v>266</v>
      </c>
      <c r="B242" s="7" t="s">
        <v>25</v>
      </c>
      <c r="C242" s="8" t="n">
        <v>35000</v>
      </c>
    </row>
    <row r="243" customFormat="false" ht="15" hidden="false" customHeight="false" outlineLevel="0" collapsed="false">
      <c r="A243" s="7" t="s">
        <v>267</v>
      </c>
      <c r="B243" s="7" t="s">
        <v>27</v>
      </c>
      <c r="C243" s="8" t="n">
        <v>80000</v>
      </c>
    </row>
    <row r="244" customFormat="false" ht="15" hidden="false" customHeight="false" outlineLevel="0" collapsed="false">
      <c r="A244" s="7" t="s">
        <v>268</v>
      </c>
      <c r="B244" s="7" t="s">
        <v>25</v>
      </c>
      <c r="C244" s="8" t="n">
        <v>35000</v>
      </c>
    </row>
    <row r="245" customFormat="false" ht="15" hidden="false" customHeight="false" outlineLevel="0" collapsed="false">
      <c r="A245" s="7" t="s">
        <v>269</v>
      </c>
      <c r="B245" s="7" t="s">
        <v>25</v>
      </c>
      <c r="C245" s="8" t="n">
        <v>35000</v>
      </c>
    </row>
    <row r="246" customFormat="false" ht="15" hidden="false" customHeight="false" outlineLevel="0" collapsed="false">
      <c r="A246" s="7" t="s">
        <v>270</v>
      </c>
      <c r="B246" s="7" t="s">
        <v>29</v>
      </c>
      <c r="C246" s="8" t="n">
        <v>25000</v>
      </c>
    </row>
    <row r="247" customFormat="false" ht="15" hidden="false" customHeight="false" outlineLevel="0" collapsed="false">
      <c r="A247" s="7" t="s">
        <v>271</v>
      </c>
      <c r="B247" s="7" t="s">
        <v>23</v>
      </c>
      <c r="C247" s="8" t="n">
        <v>55000</v>
      </c>
    </row>
    <row r="248" customFormat="false" ht="15" hidden="false" customHeight="false" outlineLevel="0" collapsed="false">
      <c r="A248" s="7" t="s">
        <v>272</v>
      </c>
      <c r="B248" s="7" t="s">
        <v>25</v>
      </c>
      <c r="C248" s="8" t="n">
        <v>35000</v>
      </c>
    </row>
    <row r="249" customFormat="false" ht="15" hidden="false" customHeight="false" outlineLevel="0" collapsed="false">
      <c r="A249" s="7" t="s">
        <v>273</v>
      </c>
      <c r="B249" s="7" t="s">
        <v>23</v>
      </c>
      <c r="C249" s="8" t="n">
        <v>55000</v>
      </c>
    </row>
    <row r="250" customFormat="false" ht="15" hidden="false" customHeight="false" outlineLevel="0" collapsed="false">
      <c r="A250" s="7" t="s">
        <v>274</v>
      </c>
      <c r="B250" s="7" t="s">
        <v>25</v>
      </c>
      <c r="C250" s="8" t="n">
        <v>35000</v>
      </c>
    </row>
    <row r="251" customFormat="false" ht="15" hidden="false" customHeight="false" outlineLevel="0" collapsed="false">
      <c r="A251" s="7" t="s">
        <v>275</v>
      </c>
      <c r="B251" s="7" t="s">
        <v>23</v>
      </c>
      <c r="C251" s="8" t="n">
        <v>55000</v>
      </c>
    </row>
    <row r="252" customFormat="false" ht="15" hidden="false" customHeight="false" outlineLevel="0" collapsed="false">
      <c r="A252" s="7" t="s">
        <v>276</v>
      </c>
      <c r="B252" s="7" t="s">
        <v>23</v>
      </c>
      <c r="C252" s="8" t="n">
        <v>55000</v>
      </c>
    </row>
    <row r="253" customFormat="false" ht="15" hidden="false" customHeight="false" outlineLevel="0" collapsed="false">
      <c r="A253" s="7" t="s">
        <v>277</v>
      </c>
      <c r="B253" s="7" t="s">
        <v>27</v>
      </c>
      <c r="C253" s="8" t="n">
        <v>80000</v>
      </c>
    </row>
    <row r="254" customFormat="false" ht="15" hidden="false" customHeight="false" outlineLevel="0" collapsed="false">
      <c r="A254" s="7" t="s">
        <v>278</v>
      </c>
      <c r="B254" s="7" t="s">
        <v>25</v>
      </c>
      <c r="C254" s="8" t="n">
        <v>35000</v>
      </c>
    </row>
    <row r="255" customFormat="false" ht="15" hidden="false" customHeight="false" outlineLevel="0" collapsed="false">
      <c r="A255" s="7" t="s">
        <v>279</v>
      </c>
      <c r="B255" s="7" t="s">
        <v>29</v>
      </c>
      <c r="C255" s="8" t="n">
        <v>25000</v>
      </c>
    </row>
    <row r="256" customFormat="false" ht="15" hidden="false" customHeight="false" outlineLevel="0" collapsed="false">
      <c r="A256" s="7" t="s">
        <v>280</v>
      </c>
      <c r="B256" s="7" t="s">
        <v>23</v>
      </c>
      <c r="C256" s="8" t="n">
        <v>55000</v>
      </c>
    </row>
    <row r="257" customFormat="false" ht="15" hidden="false" customHeight="false" outlineLevel="0" collapsed="false">
      <c r="A257" s="7" t="s">
        <v>281</v>
      </c>
      <c r="B257" s="7" t="s">
        <v>27</v>
      </c>
      <c r="C257" s="8" t="n">
        <v>80000</v>
      </c>
    </row>
    <row r="258" customFormat="false" ht="15" hidden="false" customHeight="false" outlineLevel="0" collapsed="false">
      <c r="A258" s="7" t="s">
        <v>282</v>
      </c>
      <c r="B258" s="7" t="s">
        <v>27</v>
      </c>
      <c r="C258" s="8" t="n">
        <v>80000</v>
      </c>
    </row>
    <row r="259" customFormat="false" ht="15" hidden="false" customHeight="false" outlineLevel="0" collapsed="false">
      <c r="A259" s="7" t="s">
        <v>283</v>
      </c>
      <c r="B259" s="7" t="s">
        <v>25</v>
      </c>
      <c r="C259" s="8" t="n">
        <v>35000</v>
      </c>
    </row>
    <row r="260" customFormat="false" ht="15" hidden="false" customHeight="false" outlineLevel="0" collapsed="false">
      <c r="A260" s="7" t="s">
        <v>284</v>
      </c>
      <c r="B260" s="7" t="s">
        <v>25</v>
      </c>
      <c r="C260" s="8" t="n">
        <v>35000</v>
      </c>
    </row>
    <row r="261" customFormat="false" ht="15" hidden="false" customHeight="false" outlineLevel="0" collapsed="false">
      <c r="A261" s="7" t="s">
        <v>285</v>
      </c>
      <c r="B261" s="7" t="s">
        <v>29</v>
      </c>
      <c r="C261" s="8" t="n">
        <v>25000</v>
      </c>
    </row>
    <row r="262" customFormat="false" ht="15" hidden="false" customHeight="false" outlineLevel="0" collapsed="false">
      <c r="A262" s="7" t="s">
        <v>286</v>
      </c>
      <c r="B262" s="7" t="s">
        <v>27</v>
      </c>
      <c r="C262" s="8" t="n">
        <v>80000</v>
      </c>
    </row>
    <row r="263" customFormat="false" ht="15" hidden="false" customHeight="false" outlineLevel="0" collapsed="false">
      <c r="A263" s="7" t="s">
        <v>287</v>
      </c>
      <c r="B263" s="7" t="s">
        <v>25</v>
      </c>
      <c r="C263" s="8" t="n">
        <v>35000</v>
      </c>
    </row>
    <row r="264" customFormat="false" ht="15" hidden="false" customHeight="false" outlineLevel="0" collapsed="false">
      <c r="A264" s="7" t="s">
        <v>288</v>
      </c>
      <c r="B264" s="7" t="s">
        <v>29</v>
      </c>
      <c r="C264" s="8" t="n">
        <v>25000</v>
      </c>
    </row>
    <row r="265" customFormat="false" ht="15" hidden="false" customHeight="false" outlineLevel="0" collapsed="false">
      <c r="A265" s="7" t="s">
        <v>289</v>
      </c>
      <c r="B265" s="7" t="s">
        <v>25</v>
      </c>
      <c r="C265" s="8" t="n">
        <v>35000</v>
      </c>
    </row>
    <row r="266" customFormat="false" ht="15" hidden="false" customHeight="false" outlineLevel="0" collapsed="false">
      <c r="A266" s="7" t="s">
        <v>290</v>
      </c>
      <c r="B266" s="7" t="s">
        <v>25</v>
      </c>
      <c r="C266" s="8" t="n">
        <v>35000</v>
      </c>
    </row>
    <row r="267" customFormat="false" ht="15" hidden="false" customHeight="false" outlineLevel="0" collapsed="false">
      <c r="A267" s="7" t="s">
        <v>291</v>
      </c>
      <c r="B267" s="7" t="s">
        <v>25</v>
      </c>
      <c r="C267" s="8" t="n">
        <v>35000</v>
      </c>
    </row>
    <row r="268" customFormat="false" ht="15" hidden="false" customHeight="false" outlineLevel="0" collapsed="false">
      <c r="A268" s="7" t="s">
        <v>292</v>
      </c>
      <c r="B268" s="7" t="s">
        <v>27</v>
      </c>
      <c r="C268" s="8" t="n">
        <v>80000</v>
      </c>
    </row>
    <row r="269" customFormat="false" ht="15" hidden="false" customHeight="false" outlineLevel="0" collapsed="false">
      <c r="A269" s="7" t="s">
        <v>293</v>
      </c>
      <c r="B269" s="7" t="s">
        <v>29</v>
      </c>
      <c r="C269" s="8" t="n">
        <v>25000</v>
      </c>
    </row>
    <row r="270" customFormat="false" ht="15" hidden="false" customHeight="false" outlineLevel="0" collapsed="false">
      <c r="A270" s="7" t="s">
        <v>294</v>
      </c>
      <c r="B270" s="7" t="s">
        <v>29</v>
      </c>
      <c r="C270" s="8" t="n">
        <v>25000</v>
      </c>
    </row>
    <row r="271" customFormat="false" ht="15" hidden="false" customHeight="false" outlineLevel="0" collapsed="false">
      <c r="A271" s="7" t="s">
        <v>295</v>
      </c>
      <c r="B271" s="7" t="s">
        <v>23</v>
      </c>
      <c r="C271" s="8" t="n">
        <v>55000</v>
      </c>
    </row>
    <row r="272" customFormat="false" ht="15" hidden="false" customHeight="false" outlineLevel="0" collapsed="false">
      <c r="A272" s="7" t="s">
        <v>296</v>
      </c>
      <c r="B272" s="7" t="s">
        <v>27</v>
      </c>
      <c r="C272" s="8" t="n">
        <v>80000</v>
      </c>
    </row>
    <row r="273" customFormat="false" ht="15" hidden="false" customHeight="false" outlineLevel="0" collapsed="false">
      <c r="A273" s="7" t="s">
        <v>297</v>
      </c>
      <c r="B273" s="7" t="s">
        <v>29</v>
      </c>
      <c r="C273" s="8" t="n">
        <v>25000</v>
      </c>
    </row>
    <row r="274" customFormat="false" ht="15" hidden="false" customHeight="false" outlineLevel="0" collapsed="false">
      <c r="A274" s="7" t="s">
        <v>298</v>
      </c>
      <c r="B274" s="7" t="s">
        <v>29</v>
      </c>
      <c r="C274" s="8" t="n">
        <v>25000</v>
      </c>
    </row>
    <row r="275" customFormat="false" ht="15" hidden="false" customHeight="false" outlineLevel="0" collapsed="false">
      <c r="A275" s="7" t="s">
        <v>299</v>
      </c>
      <c r="B275" s="7" t="s">
        <v>25</v>
      </c>
      <c r="C275" s="8" t="n">
        <v>35000</v>
      </c>
    </row>
    <row r="276" customFormat="false" ht="15" hidden="false" customHeight="false" outlineLevel="0" collapsed="false">
      <c r="A276" s="7" t="s">
        <v>300</v>
      </c>
      <c r="B276" s="7" t="s">
        <v>25</v>
      </c>
      <c r="C276" s="8" t="n">
        <v>35000</v>
      </c>
    </row>
    <row r="277" customFormat="false" ht="15" hidden="false" customHeight="false" outlineLevel="0" collapsed="false">
      <c r="A277" s="7" t="s">
        <v>301</v>
      </c>
      <c r="B277" s="7" t="s">
        <v>23</v>
      </c>
      <c r="C277" s="8" t="n">
        <v>55000</v>
      </c>
    </row>
    <row r="278" customFormat="false" ht="15" hidden="false" customHeight="false" outlineLevel="0" collapsed="false">
      <c r="A278" s="7" t="s">
        <v>302</v>
      </c>
      <c r="B278" s="7" t="s">
        <v>29</v>
      </c>
      <c r="C278" s="8" t="n">
        <v>25000</v>
      </c>
    </row>
    <row r="279" customFormat="false" ht="15" hidden="false" customHeight="false" outlineLevel="0" collapsed="false">
      <c r="A279" s="7" t="s">
        <v>303</v>
      </c>
      <c r="B279" s="7" t="s">
        <v>29</v>
      </c>
      <c r="C279" s="8" t="n">
        <v>25000</v>
      </c>
    </row>
    <row r="280" customFormat="false" ht="15" hidden="false" customHeight="false" outlineLevel="0" collapsed="false">
      <c r="A280" s="7" t="s">
        <v>304</v>
      </c>
      <c r="B280" s="7" t="s">
        <v>27</v>
      </c>
      <c r="C280" s="8" t="n">
        <v>80000</v>
      </c>
    </row>
    <row r="281" customFormat="false" ht="15" hidden="false" customHeight="false" outlineLevel="0" collapsed="false">
      <c r="A281" s="7" t="s">
        <v>305</v>
      </c>
      <c r="B281" s="7" t="s">
        <v>29</v>
      </c>
      <c r="C281" s="8" t="n">
        <v>25000</v>
      </c>
    </row>
    <row r="282" customFormat="false" ht="15" hidden="false" customHeight="false" outlineLevel="0" collapsed="false">
      <c r="A282" s="7" t="s">
        <v>306</v>
      </c>
      <c r="B282" s="7" t="s">
        <v>29</v>
      </c>
      <c r="C282" s="8" t="n">
        <v>25000</v>
      </c>
    </row>
    <row r="283" customFormat="false" ht="15" hidden="false" customHeight="false" outlineLevel="0" collapsed="false">
      <c r="A283" s="7" t="s">
        <v>307</v>
      </c>
      <c r="B283" s="7" t="s">
        <v>27</v>
      </c>
      <c r="C283" s="8" t="n">
        <v>80000</v>
      </c>
    </row>
    <row r="284" customFormat="false" ht="15" hidden="false" customHeight="false" outlineLevel="0" collapsed="false">
      <c r="A284" s="7" t="s">
        <v>308</v>
      </c>
      <c r="B284" s="7" t="s">
        <v>23</v>
      </c>
      <c r="C284" s="8" t="n">
        <v>55000</v>
      </c>
    </row>
    <row r="285" customFormat="false" ht="15" hidden="false" customHeight="false" outlineLevel="0" collapsed="false">
      <c r="A285" s="7" t="s">
        <v>309</v>
      </c>
      <c r="B285" s="7" t="s">
        <v>25</v>
      </c>
      <c r="C285" s="8" t="n">
        <v>35000</v>
      </c>
    </row>
    <row r="286" customFormat="false" ht="15" hidden="false" customHeight="false" outlineLevel="0" collapsed="false">
      <c r="A286" s="7" t="s">
        <v>310</v>
      </c>
      <c r="B286" s="7" t="s">
        <v>23</v>
      </c>
      <c r="C286" s="8" t="n">
        <v>55000</v>
      </c>
    </row>
    <row r="287" customFormat="false" ht="15" hidden="false" customHeight="false" outlineLevel="0" collapsed="false">
      <c r="A287" s="7" t="s">
        <v>311</v>
      </c>
      <c r="B287" s="7" t="s">
        <v>27</v>
      </c>
      <c r="C287" s="8" t="n">
        <v>80000</v>
      </c>
    </row>
    <row r="288" customFormat="false" ht="15" hidden="false" customHeight="false" outlineLevel="0" collapsed="false">
      <c r="A288" s="7" t="s">
        <v>312</v>
      </c>
      <c r="B288" s="7" t="s">
        <v>27</v>
      </c>
      <c r="C288" s="8" t="n">
        <v>80000</v>
      </c>
    </row>
    <row r="289" customFormat="false" ht="15" hidden="false" customHeight="false" outlineLevel="0" collapsed="false">
      <c r="A289" s="7" t="s">
        <v>313</v>
      </c>
      <c r="B289" s="7" t="s">
        <v>25</v>
      </c>
      <c r="C289" s="8" t="n">
        <v>35000</v>
      </c>
    </row>
    <row r="290" customFormat="false" ht="15" hidden="false" customHeight="false" outlineLevel="0" collapsed="false">
      <c r="A290" s="7" t="s">
        <v>314</v>
      </c>
      <c r="B290" s="7" t="s">
        <v>23</v>
      </c>
      <c r="C290" s="8" t="n">
        <v>55000</v>
      </c>
    </row>
    <row r="291" customFormat="false" ht="15" hidden="false" customHeight="false" outlineLevel="0" collapsed="false">
      <c r="A291" s="7" t="s">
        <v>315</v>
      </c>
      <c r="B291" s="7" t="s">
        <v>25</v>
      </c>
      <c r="C291" s="8" t="n">
        <v>35000</v>
      </c>
    </row>
    <row r="292" customFormat="false" ht="15" hidden="false" customHeight="false" outlineLevel="0" collapsed="false">
      <c r="A292" s="7" t="s">
        <v>316</v>
      </c>
      <c r="B292" s="7" t="s">
        <v>27</v>
      </c>
      <c r="C292" s="8" t="n">
        <v>80000</v>
      </c>
    </row>
    <row r="293" customFormat="false" ht="15" hidden="false" customHeight="false" outlineLevel="0" collapsed="false">
      <c r="A293" s="7" t="s">
        <v>317</v>
      </c>
      <c r="B293" s="7" t="s">
        <v>25</v>
      </c>
      <c r="C293" s="8" t="n">
        <v>35000</v>
      </c>
    </row>
    <row r="294" customFormat="false" ht="15" hidden="false" customHeight="false" outlineLevel="0" collapsed="false">
      <c r="A294" s="7" t="s">
        <v>318</v>
      </c>
      <c r="B294" s="7" t="s">
        <v>27</v>
      </c>
      <c r="C294" s="8" t="n">
        <v>80000</v>
      </c>
    </row>
    <row r="295" customFormat="false" ht="15" hidden="false" customHeight="false" outlineLevel="0" collapsed="false">
      <c r="A295" s="7" t="s">
        <v>319</v>
      </c>
      <c r="B295" s="7" t="s">
        <v>29</v>
      </c>
      <c r="C295" s="8" t="n">
        <v>25000</v>
      </c>
    </row>
    <row r="296" customFormat="false" ht="15" hidden="false" customHeight="false" outlineLevel="0" collapsed="false">
      <c r="A296" s="7" t="s">
        <v>320</v>
      </c>
      <c r="B296" s="7" t="s">
        <v>27</v>
      </c>
      <c r="C296" s="8" t="n">
        <v>80000</v>
      </c>
    </row>
    <row r="297" customFormat="false" ht="15" hidden="false" customHeight="false" outlineLevel="0" collapsed="false">
      <c r="A297" s="7" t="s">
        <v>321</v>
      </c>
      <c r="B297" s="7" t="s">
        <v>27</v>
      </c>
      <c r="C297" s="8" t="n">
        <v>80000</v>
      </c>
    </row>
    <row r="298" customFormat="false" ht="15" hidden="false" customHeight="false" outlineLevel="0" collapsed="false">
      <c r="A298" s="7" t="s">
        <v>322</v>
      </c>
      <c r="B298" s="7" t="s">
        <v>23</v>
      </c>
      <c r="C298" s="8" t="n">
        <v>55000</v>
      </c>
    </row>
    <row r="299" customFormat="false" ht="15" hidden="false" customHeight="false" outlineLevel="0" collapsed="false">
      <c r="A299" s="7" t="s">
        <v>323</v>
      </c>
      <c r="B299" s="7" t="s">
        <v>29</v>
      </c>
      <c r="C299" s="8" t="n">
        <v>25000</v>
      </c>
    </row>
    <row r="300" customFormat="false" ht="15" hidden="false" customHeight="false" outlineLevel="0" collapsed="false">
      <c r="A300" s="7" t="s">
        <v>324</v>
      </c>
      <c r="B300" s="7" t="s">
        <v>25</v>
      </c>
      <c r="C300" s="8" t="n">
        <v>35000</v>
      </c>
    </row>
    <row r="301" customFormat="false" ht="15" hidden="false" customHeight="false" outlineLevel="0" collapsed="false">
      <c r="A301" s="7" t="s">
        <v>325</v>
      </c>
      <c r="B301" s="7" t="s">
        <v>27</v>
      </c>
      <c r="C301" s="8" t="n">
        <v>80000</v>
      </c>
    </row>
    <row r="302" customFormat="false" ht="15" hidden="false" customHeight="false" outlineLevel="0" collapsed="false">
      <c r="A302" s="7" t="s">
        <v>326</v>
      </c>
      <c r="B302" s="7" t="s">
        <v>29</v>
      </c>
      <c r="C302" s="8" t="n">
        <v>25000</v>
      </c>
    </row>
    <row r="303" customFormat="false" ht="15" hidden="false" customHeight="false" outlineLevel="0" collapsed="false">
      <c r="A303" s="7" t="s">
        <v>327</v>
      </c>
      <c r="B303" s="7" t="s">
        <v>25</v>
      </c>
      <c r="C303" s="8" t="n">
        <v>35000</v>
      </c>
    </row>
    <row r="304" customFormat="false" ht="15" hidden="false" customHeight="false" outlineLevel="0" collapsed="false">
      <c r="A304" s="7" t="s">
        <v>328</v>
      </c>
      <c r="B304" s="7" t="s">
        <v>23</v>
      </c>
      <c r="C304" s="8" t="n">
        <v>55000</v>
      </c>
    </row>
    <row r="305" customFormat="false" ht="15" hidden="false" customHeight="false" outlineLevel="0" collapsed="false">
      <c r="A305" s="7" t="s">
        <v>329</v>
      </c>
      <c r="B305" s="7" t="s">
        <v>29</v>
      </c>
      <c r="C305" s="8" t="n">
        <v>25000</v>
      </c>
    </row>
    <row r="306" customFormat="false" ht="15" hidden="false" customHeight="false" outlineLevel="0" collapsed="false">
      <c r="A306" s="7" t="s">
        <v>330</v>
      </c>
      <c r="B306" s="7" t="s">
        <v>25</v>
      </c>
      <c r="C306" s="8" t="n">
        <v>35000</v>
      </c>
    </row>
    <row r="307" customFormat="false" ht="15" hidden="false" customHeight="false" outlineLevel="0" collapsed="false">
      <c r="A307" s="7" t="s">
        <v>331</v>
      </c>
      <c r="B307" s="7" t="s">
        <v>23</v>
      </c>
      <c r="C307" s="8" t="n">
        <v>55000</v>
      </c>
    </row>
    <row r="308" customFormat="false" ht="15" hidden="false" customHeight="false" outlineLevel="0" collapsed="false">
      <c r="A308" s="7" t="s">
        <v>332</v>
      </c>
      <c r="B308" s="7" t="s">
        <v>25</v>
      </c>
      <c r="C308" s="8" t="n">
        <v>35000</v>
      </c>
    </row>
    <row r="309" customFormat="false" ht="15" hidden="false" customHeight="false" outlineLevel="0" collapsed="false">
      <c r="A309" s="7" t="s">
        <v>333</v>
      </c>
      <c r="B309" s="7" t="s">
        <v>23</v>
      </c>
      <c r="C309" s="8" t="n">
        <v>55000</v>
      </c>
    </row>
    <row r="310" customFormat="false" ht="15" hidden="false" customHeight="false" outlineLevel="0" collapsed="false">
      <c r="A310" s="7" t="s">
        <v>334</v>
      </c>
      <c r="B310" s="7" t="s">
        <v>25</v>
      </c>
      <c r="C310" s="8" t="n">
        <v>35000</v>
      </c>
    </row>
    <row r="311" customFormat="false" ht="15" hidden="false" customHeight="false" outlineLevel="0" collapsed="false">
      <c r="A311" s="7" t="s">
        <v>335</v>
      </c>
      <c r="B311" s="7" t="s">
        <v>27</v>
      </c>
      <c r="C311" s="8" t="n">
        <v>80000</v>
      </c>
    </row>
    <row r="312" customFormat="false" ht="15" hidden="false" customHeight="false" outlineLevel="0" collapsed="false">
      <c r="A312" s="7" t="s">
        <v>336</v>
      </c>
      <c r="B312" s="7" t="s">
        <v>25</v>
      </c>
      <c r="C312" s="8" t="n">
        <v>35000</v>
      </c>
    </row>
    <row r="313" customFormat="false" ht="15" hidden="false" customHeight="false" outlineLevel="0" collapsed="false">
      <c r="A313" s="7" t="s">
        <v>337</v>
      </c>
      <c r="B313" s="7" t="s">
        <v>29</v>
      </c>
      <c r="C313" s="8" t="n">
        <v>25000</v>
      </c>
    </row>
    <row r="314" customFormat="false" ht="15" hidden="false" customHeight="false" outlineLevel="0" collapsed="false">
      <c r="A314" s="7" t="s">
        <v>338</v>
      </c>
      <c r="B314" s="7" t="s">
        <v>27</v>
      </c>
      <c r="C314" s="8" t="n">
        <v>80000</v>
      </c>
    </row>
    <row r="315" customFormat="false" ht="15" hidden="false" customHeight="false" outlineLevel="0" collapsed="false">
      <c r="A315" s="7" t="s">
        <v>339</v>
      </c>
      <c r="B315" s="7" t="s">
        <v>27</v>
      </c>
      <c r="C315" s="8" t="n">
        <v>80000</v>
      </c>
    </row>
    <row r="316" customFormat="false" ht="15" hidden="false" customHeight="false" outlineLevel="0" collapsed="false">
      <c r="A316" s="7" t="s">
        <v>340</v>
      </c>
      <c r="B316" s="7" t="s">
        <v>25</v>
      </c>
      <c r="C316" s="8" t="n">
        <v>35000</v>
      </c>
    </row>
    <row r="317" customFormat="false" ht="15" hidden="false" customHeight="false" outlineLevel="0" collapsed="false">
      <c r="A317" s="7" t="s">
        <v>341</v>
      </c>
      <c r="B317" s="7" t="s">
        <v>25</v>
      </c>
      <c r="C317" s="8" t="n">
        <v>35000</v>
      </c>
    </row>
    <row r="318" customFormat="false" ht="15" hidden="false" customHeight="false" outlineLevel="0" collapsed="false">
      <c r="A318" s="7" t="s">
        <v>342</v>
      </c>
      <c r="B318" s="7" t="s">
        <v>25</v>
      </c>
      <c r="C318" s="8" t="n">
        <v>35000</v>
      </c>
    </row>
    <row r="319" customFormat="false" ht="15" hidden="false" customHeight="false" outlineLevel="0" collapsed="false">
      <c r="A319" s="7" t="s">
        <v>343</v>
      </c>
      <c r="B319" s="7" t="s">
        <v>27</v>
      </c>
      <c r="C319" s="8" t="n">
        <v>80000</v>
      </c>
    </row>
    <row r="320" customFormat="false" ht="15" hidden="false" customHeight="false" outlineLevel="0" collapsed="false">
      <c r="A320" s="7" t="s">
        <v>344</v>
      </c>
      <c r="B320" s="7" t="s">
        <v>27</v>
      </c>
      <c r="C320" s="8" t="n">
        <v>80000</v>
      </c>
    </row>
    <row r="321" customFormat="false" ht="15" hidden="false" customHeight="false" outlineLevel="0" collapsed="false">
      <c r="A321" s="7" t="s">
        <v>345</v>
      </c>
      <c r="B321" s="7" t="s">
        <v>23</v>
      </c>
      <c r="C321" s="8" t="n">
        <v>55000</v>
      </c>
    </row>
    <row r="322" customFormat="false" ht="15" hidden="false" customHeight="false" outlineLevel="0" collapsed="false">
      <c r="A322" s="7" t="s">
        <v>346</v>
      </c>
      <c r="B322" s="7" t="s">
        <v>27</v>
      </c>
      <c r="C322" s="8" t="n">
        <v>80000</v>
      </c>
    </row>
    <row r="323" customFormat="false" ht="15" hidden="false" customHeight="false" outlineLevel="0" collapsed="false">
      <c r="A323" s="7" t="s">
        <v>347</v>
      </c>
      <c r="B323" s="7" t="s">
        <v>25</v>
      </c>
      <c r="C323" s="8" t="n">
        <v>35000</v>
      </c>
    </row>
    <row r="324" customFormat="false" ht="15" hidden="false" customHeight="false" outlineLevel="0" collapsed="false">
      <c r="A324" s="7" t="s">
        <v>348</v>
      </c>
      <c r="B324" s="7" t="s">
        <v>23</v>
      </c>
      <c r="C324" s="8" t="n">
        <v>55000</v>
      </c>
    </row>
    <row r="325" customFormat="false" ht="15" hidden="false" customHeight="false" outlineLevel="0" collapsed="false">
      <c r="A325" s="7" t="s">
        <v>349</v>
      </c>
      <c r="B325" s="7" t="s">
        <v>23</v>
      </c>
      <c r="C325" s="8" t="n">
        <v>55000</v>
      </c>
    </row>
    <row r="326" customFormat="false" ht="15" hidden="false" customHeight="false" outlineLevel="0" collapsed="false">
      <c r="A326" s="7" t="s">
        <v>350</v>
      </c>
      <c r="B326" s="7" t="s">
        <v>29</v>
      </c>
      <c r="C326" s="8" t="n">
        <v>25000</v>
      </c>
    </row>
    <row r="327" customFormat="false" ht="15" hidden="false" customHeight="false" outlineLevel="0" collapsed="false">
      <c r="A327" s="7" t="s">
        <v>351</v>
      </c>
      <c r="B327" s="7" t="s">
        <v>23</v>
      </c>
      <c r="C327" s="8" t="n">
        <v>55000</v>
      </c>
    </row>
    <row r="328" customFormat="false" ht="15" hidden="false" customHeight="false" outlineLevel="0" collapsed="false">
      <c r="A328" s="7" t="s">
        <v>352</v>
      </c>
      <c r="B328" s="7" t="s">
        <v>29</v>
      </c>
      <c r="C328" s="8" t="n">
        <v>25000</v>
      </c>
    </row>
    <row r="329" customFormat="false" ht="15" hidden="false" customHeight="false" outlineLevel="0" collapsed="false">
      <c r="A329" s="7" t="s">
        <v>353</v>
      </c>
      <c r="B329" s="7" t="s">
        <v>23</v>
      </c>
      <c r="C329" s="8" t="n">
        <v>55000</v>
      </c>
    </row>
    <row r="330" customFormat="false" ht="15" hidden="false" customHeight="false" outlineLevel="0" collapsed="false">
      <c r="A330" s="7" t="s">
        <v>354</v>
      </c>
      <c r="B330" s="7" t="s">
        <v>27</v>
      </c>
      <c r="C330" s="8" t="n">
        <v>80000</v>
      </c>
    </row>
    <row r="331" customFormat="false" ht="15" hidden="false" customHeight="false" outlineLevel="0" collapsed="false">
      <c r="A331" s="7" t="s">
        <v>355</v>
      </c>
      <c r="B331" s="7" t="s">
        <v>27</v>
      </c>
      <c r="C331" s="8" t="n">
        <v>80000</v>
      </c>
    </row>
    <row r="332" customFormat="false" ht="15" hidden="false" customHeight="false" outlineLevel="0" collapsed="false">
      <c r="A332" s="7" t="s">
        <v>356</v>
      </c>
      <c r="B332" s="7" t="s">
        <v>29</v>
      </c>
      <c r="C332" s="8" t="n">
        <v>25000</v>
      </c>
    </row>
    <row r="333" customFormat="false" ht="15" hidden="false" customHeight="false" outlineLevel="0" collapsed="false">
      <c r="A333" s="7" t="s">
        <v>357</v>
      </c>
      <c r="B333" s="7" t="s">
        <v>27</v>
      </c>
      <c r="C333" s="8" t="n">
        <v>80000</v>
      </c>
    </row>
    <row r="334" customFormat="false" ht="15" hidden="false" customHeight="false" outlineLevel="0" collapsed="false">
      <c r="A334" s="7" t="s">
        <v>358</v>
      </c>
      <c r="B334" s="7" t="s">
        <v>23</v>
      </c>
      <c r="C334" s="8" t="n">
        <v>55000</v>
      </c>
    </row>
    <row r="335" customFormat="false" ht="15" hidden="false" customHeight="false" outlineLevel="0" collapsed="false">
      <c r="A335" s="7" t="s">
        <v>359</v>
      </c>
      <c r="B335" s="7" t="s">
        <v>23</v>
      </c>
      <c r="C335" s="8" t="n">
        <v>55000</v>
      </c>
    </row>
    <row r="336" customFormat="false" ht="15" hidden="false" customHeight="false" outlineLevel="0" collapsed="false">
      <c r="A336" s="7" t="s">
        <v>360</v>
      </c>
      <c r="B336" s="7" t="s">
        <v>29</v>
      </c>
      <c r="C336" s="8" t="n">
        <v>25000</v>
      </c>
    </row>
    <row r="337" customFormat="false" ht="15" hidden="false" customHeight="false" outlineLevel="0" collapsed="false">
      <c r="A337" s="7" t="s">
        <v>361</v>
      </c>
      <c r="B337" s="7" t="s">
        <v>29</v>
      </c>
      <c r="C337" s="8" t="n">
        <v>25000</v>
      </c>
    </row>
    <row r="338" customFormat="false" ht="15" hidden="false" customHeight="false" outlineLevel="0" collapsed="false">
      <c r="A338" s="7" t="s">
        <v>362</v>
      </c>
      <c r="B338" s="7" t="s">
        <v>25</v>
      </c>
      <c r="C338" s="8" t="n">
        <v>35000</v>
      </c>
    </row>
    <row r="339" customFormat="false" ht="15" hidden="false" customHeight="false" outlineLevel="0" collapsed="false">
      <c r="A339" s="7" t="s">
        <v>363</v>
      </c>
      <c r="B339" s="7" t="s">
        <v>29</v>
      </c>
      <c r="C339" s="8" t="n">
        <v>25000</v>
      </c>
    </row>
    <row r="340" customFormat="false" ht="15" hidden="false" customHeight="false" outlineLevel="0" collapsed="false">
      <c r="A340" s="7" t="s">
        <v>364</v>
      </c>
      <c r="B340" s="7" t="s">
        <v>29</v>
      </c>
      <c r="C340" s="8" t="n">
        <v>25000</v>
      </c>
    </row>
    <row r="341" customFormat="false" ht="15" hidden="false" customHeight="false" outlineLevel="0" collapsed="false">
      <c r="A341" s="7" t="s">
        <v>365</v>
      </c>
      <c r="B341" s="7" t="s">
        <v>23</v>
      </c>
      <c r="C341" s="8" t="n">
        <v>55000</v>
      </c>
    </row>
    <row r="342" customFormat="false" ht="15" hidden="false" customHeight="false" outlineLevel="0" collapsed="false">
      <c r="A342" s="7" t="s">
        <v>366</v>
      </c>
      <c r="B342" s="7" t="s">
        <v>23</v>
      </c>
      <c r="C342" s="8" t="n">
        <v>55000</v>
      </c>
    </row>
    <row r="343" customFormat="false" ht="15" hidden="false" customHeight="false" outlineLevel="0" collapsed="false">
      <c r="A343" s="7" t="s">
        <v>367</v>
      </c>
      <c r="B343" s="7" t="s">
        <v>29</v>
      </c>
      <c r="C343" s="8" t="n">
        <v>25000</v>
      </c>
    </row>
    <row r="344" customFormat="false" ht="15" hidden="false" customHeight="false" outlineLevel="0" collapsed="false">
      <c r="A344" s="7" t="s">
        <v>368</v>
      </c>
      <c r="B344" s="7" t="s">
        <v>25</v>
      </c>
      <c r="C344" s="8" t="n">
        <v>35000</v>
      </c>
    </row>
    <row r="345" customFormat="false" ht="15" hidden="false" customHeight="false" outlineLevel="0" collapsed="false">
      <c r="A345" s="7" t="s">
        <v>369</v>
      </c>
      <c r="B345" s="7" t="s">
        <v>23</v>
      </c>
      <c r="C345" s="8" t="n">
        <v>55000</v>
      </c>
    </row>
    <row r="346" customFormat="false" ht="15" hidden="false" customHeight="false" outlineLevel="0" collapsed="false">
      <c r="A346" s="7" t="s">
        <v>370</v>
      </c>
      <c r="B346" s="7" t="s">
        <v>25</v>
      </c>
      <c r="C346" s="8" t="n">
        <v>35000</v>
      </c>
    </row>
    <row r="347" customFormat="false" ht="15" hidden="false" customHeight="false" outlineLevel="0" collapsed="false">
      <c r="A347" s="7" t="s">
        <v>371</v>
      </c>
      <c r="B347" s="7" t="s">
        <v>27</v>
      </c>
      <c r="C347" s="8" t="n">
        <v>80000</v>
      </c>
    </row>
    <row r="348" customFormat="false" ht="15" hidden="false" customHeight="false" outlineLevel="0" collapsed="false">
      <c r="A348" s="7" t="s">
        <v>372</v>
      </c>
      <c r="B348" s="7" t="s">
        <v>23</v>
      </c>
      <c r="C348" s="8" t="n">
        <v>55000</v>
      </c>
    </row>
    <row r="349" customFormat="false" ht="15" hidden="false" customHeight="false" outlineLevel="0" collapsed="false">
      <c r="A349" s="7" t="s">
        <v>373</v>
      </c>
      <c r="B349" s="7" t="s">
        <v>27</v>
      </c>
      <c r="C349" s="8" t="n">
        <v>80000</v>
      </c>
    </row>
    <row r="350" customFormat="false" ht="15" hidden="false" customHeight="false" outlineLevel="0" collapsed="false">
      <c r="A350" s="7" t="s">
        <v>374</v>
      </c>
      <c r="B350" s="7" t="s">
        <v>25</v>
      </c>
      <c r="C350" s="8" t="n">
        <v>35000</v>
      </c>
    </row>
    <row r="351" customFormat="false" ht="15" hidden="false" customHeight="false" outlineLevel="0" collapsed="false">
      <c r="A351" s="7" t="s">
        <v>375</v>
      </c>
      <c r="B351" s="7" t="s">
        <v>27</v>
      </c>
      <c r="C351" s="8" t="n">
        <v>80000</v>
      </c>
    </row>
    <row r="352" customFormat="false" ht="15" hidden="false" customHeight="false" outlineLevel="0" collapsed="false">
      <c r="A352" s="7" t="s">
        <v>376</v>
      </c>
      <c r="B352" s="7" t="s">
        <v>23</v>
      </c>
      <c r="C352" s="8" t="n">
        <v>55000</v>
      </c>
    </row>
    <row r="353" customFormat="false" ht="15" hidden="false" customHeight="false" outlineLevel="0" collapsed="false">
      <c r="A353" s="7" t="s">
        <v>377</v>
      </c>
      <c r="B353" s="7" t="s">
        <v>29</v>
      </c>
      <c r="C353" s="8" t="n">
        <v>25000</v>
      </c>
    </row>
    <row r="354" customFormat="false" ht="15" hidden="false" customHeight="false" outlineLevel="0" collapsed="false">
      <c r="A354" s="7" t="s">
        <v>378</v>
      </c>
      <c r="B354" s="7" t="s">
        <v>23</v>
      </c>
      <c r="C354" s="8" t="n">
        <v>55000</v>
      </c>
    </row>
    <row r="355" customFormat="false" ht="15" hidden="false" customHeight="false" outlineLevel="0" collapsed="false">
      <c r="A355" s="7" t="s">
        <v>379</v>
      </c>
      <c r="B355" s="7" t="s">
        <v>29</v>
      </c>
      <c r="C355" s="8" t="n">
        <v>25000</v>
      </c>
    </row>
    <row r="356" customFormat="false" ht="15" hidden="false" customHeight="false" outlineLevel="0" collapsed="false">
      <c r="A356" s="7" t="s">
        <v>380</v>
      </c>
      <c r="B356" s="7" t="s">
        <v>25</v>
      </c>
      <c r="C356" s="8" t="n">
        <v>35000</v>
      </c>
    </row>
    <row r="357" customFormat="false" ht="15" hidden="false" customHeight="false" outlineLevel="0" collapsed="false">
      <c r="A357" s="7" t="s">
        <v>381</v>
      </c>
      <c r="B357" s="7" t="s">
        <v>27</v>
      </c>
      <c r="C357" s="8" t="n">
        <v>80000</v>
      </c>
    </row>
    <row r="358" customFormat="false" ht="15" hidden="false" customHeight="false" outlineLevel="0" collapsed="false">
      <c r="A358" s="7" t="s">
        <v>382</v>
      </c>
      <c r="B358" s="7" t="s">
        <v>29</v>
      </c>
      <c r="C358" s="8" t="n">
        <v>25000</v>
      </c>
    </row>
    <row r="359" customFormat="false" ht="15" hidden="false" customHeight="false" outlineLevel="0" collapsed="false">
      <c r="A359" s="7" t="s">
        <v>383</v>
      </c>
      <c r="B359" s="7" t="s">
        <v>23</v>
      </c>
      <c r="C359" s="8" t="n">
        <v>55000</v>
      </c>
    </row>
    <row r="360" customFormat="false" ht="15" hidden="false" customHeight="false" outlineLevel="0" collapsed="false">
      <c r="A360" s="7" t="s">
        <v>384</v>
      </c>
      <c r="B360" s="7" t="s">
        <v>29</v>
      </c>
      <c r="C360" s="8" t="n">
        <v>25000</v>
      </c>
    </row>
    <row r="361" customFormat="false" ht="15" hidden="false" customHeight="false" outlineLevel="0" collapsed="false">
      <c r="A361" s="7" t="s">
        <v>385</v>
      </c>
      <c r="B361" s="7" t="s">
        <v>29</v>
      </c>
      <c r="C361" s="8" t="n">
        <v>25000</v>
      </c>
    </row>
    <row r="362" customFormat="false" ht="15" hidden="false" customHeight="false" outlineLevel="0" collapsed="false">
      <c r="A362" s="7" t="s">
        <v>386</v>
      </c>
      <c r="B362" s="7" t="s">
        <v>23</v>
      </c>
      <c r="C362" s="8" t="n">
        <v>55000</v>
      </c>
    </row>
    <row r="363" customFormat="false" ht="15" hidden="false" customHeight="false" outlineLevel="0" collapsed="false">
      <c r="A363" s="7" t="s">
        <v>387</v>
      </c>
      <c r="B363" s="7" t="s">
        <v>29</v>
      </c>
      <c r="C363" s="8" t="n">
        <v>25000</v>
      </c>
    </row>
    <row r="364" customFormat="false" ht="15" hidden="false" customHeight="false" outlineLevel="0" collapsed="false">
      <c r="A364" s="7" t="s">
        <v>388</v>
      </c>
      <c r="B364" s="7" t="s">
        <v>25</v>
      </c>
      <c r="C364" s="8" t="n">
        <v>35000</v>
      </c>
    </row>
    <row r="365" customFormat="false" ht="15" hidden="false" customHeight="false" outlineLevel="0" collapsed="false">
      <c r="A365" s="7" t="s">
        <v>389</v>
      </c>
      <c r="B365" s="7" t="s">
        <v>29</v>
      </c>
      <c r="C365" s="8" t="n">
        <v>25000</v>
      </c>
    </row>
    <row r="366" customFormat="false" ht="15" hidden="false" customHeight="false" outlineLevel="0" collapsed="false">
      <c r="A366" s="7" t="s">
        <v>390</v>
      </c>
      <c r="B366" s="7" t="s">
        <v>23</v>
      </c>
      <c r="C366" s="8" t="n">
        <v>55000</v>
      </c>
    </row>
    <row r="367" customFormat="false" ht="15" hidden="false" customHeight="false" outlineLevel="0" collapsed="false">
      <c r="A367" s="7" t="s">
        <v>391</v>
      </c>
      <c r="B367" s="7" t="s">
        <v>29</v>
      </c>
      <c r="C367" s="8" t="n">
        <v>25000</v>
      </c>
    </row>
    <row r="368" customFormat="false" ht="15" hidden="false" customHeight="false" outlineLevel="0" collapsed="false">
      <c r="A368" s="7" t="s">
        <v>392</v>
      </c>
      <c r="B368" s="7" t="s">
        <v>27</v>
      </c>
      <c r="C368" s="8" t="n">
        <v>80000</v>
      </c>
    </row>
    <row r="369" customFormat="false" ht="15" hidden="false" customHeight="false" outlineLevel="0" collapsed="false">
      <c r="A369" s="7" t="s">
        <v>393</v>
      </c>
      <c r="B369" s="7" t="s">
        <v>29</v>
      </c>
      <c r="C369" s="8" t="n">
        <v>25000</v>
      </c>
    </row>
    <row r="370" customFormat="false" ht="15" hidden="false" customHeight="false" outlineLevel="0" collapsed="false">
      <c r="A370" s="7" t="s">
        <v>394</v>
      </c>
      <c r="B370" s="7" t="s">
        <v>23</v>
      </c>
      <c r="C370" s="8" t="n">
        <v>55000</v>
      </c>
    </row>
    <row r="371" customFormat="false" ht="15" hidden="false" customHeight="false" outlineLevel="0" collapsed="false">
      <c r="A371" s="7" t="s">
        <v>395</v>
      </c>
      <c r="B371" s="7" t="s">
        <v>27</v>
      </c>
      <c r="C371" s="8" t="n">
        <v>80000</v>
      </c>
    </row>
    <row r="372" customFormat="false" ht="15" hidden="false" customHeight="false" outlineLevel="0" collapsed="false">
      <c r="A372" s="7" t="s">
        <v>396</v>
      </c>
      <c r="B372" s="7" t="s">
        <v>23</v>
      </c>
      <c r="C372" s="8" t="n">
        <v>55000</v>
      </c>
    </row>
    <row r="373" customFormat="false" ht="15" hidden="false" customHeight="false" outlineLevel="0" collapsed="false">
      <c r="A373" s="7" t="s">
        <v>397</v>
      </c>
      <c r="B373" s="7" t="s">
        <v>25</v>
      </c>
      <c r="C373" s="8" t="n">
        <v>35000</v>
      </c>
    </row>
    <row r="374" customFormat="false" ht="15" hidden="false" customHeight="false" outlineLevel="0" collapsed="false">
      <c r="A374" s="7" t="s">
        <v>398</v>
      </c>
      <c r="B374" s="7" t="s">
        <v>29</v>
      </c>
      <c r="C374" s="8" t="n">
        <v>25000</v>
      </c>
    </row>
    <row r="375" customFormat="false" ht="15" hidden="false" customHeight="false" outlineLevel="0" collapsed="false">
      <c r="A375" s="7" t="s">
        <v>399</v>
      </c>
      <c r="B375" s="7" t="s">
        <v>25</v>
      </c>
      <c r="C375" s="8" t="n">
        <v>35000</v>
      </c>
    </row>
    <row r="376" customFormat="false" ht="15" hidden="false" customHeight="false" outlineLevel="0" collapsed="false">
      <c r="A376" s="7" t="s">
        <v>400</v>
      </c>
      <c r="B376" s="7" t="s">
        <v>29</v>
      </c>
      <c r="C376" s="8" t="n">
        <v>25000</v>
      </c>
    </row>
    <row r="377" customFormat="false" ht="15" hidden="false" customHeight="false" outlineLevel="0" collapsed="false">
      <c r="A377" s="7" t="s">
        <v>401</v>
      </c>
      <c r="B377" s="7" t="s">
        <v>25</v>
      </c>
      <c r="C377" s="8" t="n">
        <v>35000</v>
      </c>
    </row>
    <row r="378" customFormat="false" ht="15" hidden="false" customHeight="false" outlineLevel="0" collapsed="false">
      <c r="A378" s="7" t="s">
        <v>402</v>
      </c>
      <c r="B378" s="7" t="s">
        <v>23</v>
      </c>
      <c r="C378" s="8" t="n">
        <v>55000</v>
      </c>
    </row>
    <row r="379" customFormat="false" ht="15" hidden="false" customHeight="false" outlineLevel="0" collapsed="false">
      <c r="A379" s="7" t="s">
        <v>403</v>
      </c>
      <c r="B379" s="7" t="s">
        <v>29</v>
      </c>
      <c r="C379" s="8" t="n">
        <v>25000</v>
      </c>
    </row>
    <row r="380" customFormat="false" ht="15" hidden="false" customHeight="false" outlineLevel="0" collapsed="false">
      <c r="A380" s="7" t="s">
        <v>404</v>
      </c>
      <c r="B380" s="7" t="s">
        <v>25</v>
      </c>
      <c r="C380" s="8" t="n">
        <v>35000</v>
      </c>
    </row>
    <row r="381" customFormat="false" ht="15" hidden="false" customHeight="false" outlineLevel="0" collapsed="false">
      <c r="A381" s="7" t="s">
        <v>405</v>
      </c>
      <c r="B381" s="7" t="s">
        <v>25</v>
      </c>
      <c r="C381" s="8" t="n">
        <v>35000</v>
      </c>
    </row>
    <row r="382" customFormat="false" ht="15" hidden="false" customHeight="false" outlineLevel="0" collapsed="false">
      <c r="A382" s="7" t="s">
        <v>406</v>
      </c>
      <c r="B382" s="7" t="s">
        <v>23</v>
      </c>
      <c r="C382" s="8" t="n">
        <v>55000</v>
      </c>
    </row>
    <row r="383" customFormat="false" ht="15" hidden="false" customHeight="false" outlineLevel="0" collapsed="false">
      <c r="A383" s="7" t="s">
        <v>407</v>
      </c>
      <c r="B383" s="7" t="s">
        <v>23</v>
      </c>
      <c r="C383" s="8" t="n">
        <v>55000</v>
      </c>
    </row>
    <row r="384" customFormat="false" ht="15" hidden="false" customHeight="false" outlineLevel="0" collapsed="false">
      <c r="A384" s="7" t="s">
        <v>408</v>
      </c>
      <c r="B384" s="7" t="s">
        <v>25</v>
      </c>
      <c r="C384" s="8" t="n">
        <v>35000</v>
      </c>
    </row>
    <row r="385" customFormat="false" ht="15" hidden="false" customHeight="false" outlineLevel="0" collapsed="false">
      <c r="A385" s="7" t="s">
        <v>409</v>
      </c>
      <c r="B385" s="7" t="s">
        <v>23</v>
      </c>
      <c r="C385" s="8" t="n">
        <v>55000</v>
      </c>
    </row>
    <row r="386" customFormat="false" ht="15" hidden="false" customHeight="false" outlineLevel="0" collapsed="false">
      <c r="A386" s="7" t="s">
        <v>410</v>
      </c>
      <c r="B386" s="7" t="s">
        <v>27</v>
      </c>
      <c r="C386" s="8" t="n">
        <v>80000</v>
      </c>
    </row>
    <row r="387" customFormat="false" ht="15" hidden="false" customHeight="false" outlineLevel="0" collapsed="false">
      <c r="A387" s="7" t="s">
        <v>411</v>
      </c>
      <c r="B387" s="7" t="s">
        <v>25</v>
      </c>
      <c r="C387" s="8" t="n">
        <v>35000</v>
      </c>
    </row>
    <row r="388" customFormat="false" ht="15" hidden="false" customHeight="false" outlineLevel="0" collapsed="false">
      <c r="A388" s="7" t="s">
        <v>412</v>
      </c>
      <c r="B388" s="7" t="s">
        <v>23</v>
      </c>
      <c r="C388" s="8" t="n">
        <v>55000</v>
      </c>
    </row>
    <row r="389" customFormat="false" ht="15" hidden="false" customHeight="false" outlineLevel="0" collapsed="false">
      <c r="A389" s="7" t="s">
        <v>413</v>
      </c>
      <c r="B389" s="7" t="s">
        <v>23</v>
      </c>
      <c r="C389" s="8" t="n">
        <v>55000</v>
      </c>
    </row>
    <row r="390" customFormat="false" ht="15" hidden="false" customHeight="false" outlineLevel="0" collapsed="false">
      <c r="A390" s="7" t="s">
        <v>414</v>
      </c>
      <c r="B390" s="7" t="s">
        <v>29</v>
      </c>
      <c r="C390" s="8" t="n">
        <v>25000</v>
      </c>
    </row>
    <row r="391" customFormat="false" ht="15" hidden="false" customHeight="false" outlineLevel="0" collapsed="false">
      <c r="A391" s="7" t="s">
        <v>415</v>
      </c>
      <c r="B391" s="7" t="s">
        <v>23</v>
      </c>
      <c r="C391" s="8" t="n">
        <v>55000</v>
      </c>
    </row>
    <row r="392" customFormat="false" ht="15" hidden="false" customHeight="false" outlineLevel="0" collapsed="false">
      <c r="A392" s="7" t="s">
        <v>416</v>
      </c>
      <c r="B392" s="7" t="s">
        <v>29</v>
      </c>
      <c r="C392" s="8" t="n">
        <v>25000</v>
      </c>
    </row>
    <row r="393" customFormat="false" ht="15" hidden="false" customHeight="false" outlineLevel="0" collapsed="false">
      <c r="A393" s="7" t="s">
        <v>417</v>
      </c>
      <c r="B393" s="7" t="s">
        <v>29</v>
      </c>
      <c r="C393" s="8" t="n">
        <v>25000</v>
      </c>
    </row>
    <row r="394" customFormat="false" ht="15" hidden="false" customHeight="false" outlineLevel="0" collapsed="false">
      <c r="A394" s="7" t="s">
        <v>418</v>
      </c>
      <c r="B394" s="7" t="s">
        <v>29</v>
      </c>
      <c r="C394" s="8" t="n">
        <v>25000</v>
      </c>
    </row>
    <row r="395" customFormat="false" ht="15" hidden="false" customHeight="false" outlineLevel="0" collapsed="false">
      <c r="A395" s="7" t="s">
        <v>419</v>
      </c>
      <c r="B395" s="7" t="s">
        <v>25</v>
      </c>
      <c r="C395" s="8" t="n">
        <v>35000</v>
      </c>
    </row>
    <row r="396" customFormat="false" ht="15" hidden="false" customHeight="false" outlineLevel="0" collapsed="false">
      <c r="A396" s="7" t="s">
        <v>420</v>
      </c>
      <c r="B396" s="7" t="s">
        <v>27</v>
      </c>
      <c r="C396" s="8" t="n">
        <v>80000</v>
      </c>
    </row>
    <row r="397" customFormat="false" ht="15" hidden="false" customHeight="false" outlineLevel="0" collapsed="false">
      <c r="A397" s="7" t="s">
        <v>421</v>
      </c>
      <c r="B397" s="7" t="s">
        <v>25</v>
      </c>
      <c r="C397" s="8" t="n">
        <v>35000</v>
      </c>
    </row>
    <row r="398" customFormat="false" ht="15" hidden="false" customHeight="false" outlineLevel="0" collapsed="false">
      <c r="A398" s="7" t="s">
        <v>422</v>
      </c>
      <c r="B398" s="7" t="s">
        <v>27</v>
      </c>
      <c r="C398" s="8" t="n">
        <v>80000</v>
      </c>
    </row>
    <row r="399" customFormat="false" ht="15" hidden="false" customHeight="false" outlineLevel="0" collapsed="false">
      <c r="A399" s="7" t="s">
        <v>423</v>
      </c>
      <c r="B399" s="7" t="s">
        <v>29</v>
      </c>
      <c r="C399" s="8" t="n">
        <v>25000</v>
      </c>
    </row>
    <row r="400" customFormat="false" ht="15" hidden="false" customHeight="false" outlineLevel="0" collapsed="false">
      <c r="A400" s="7" t="s">
        <v>424</v>
      </c>
      <c r="B400" s="7" t="s">
        <v>27</v>
      </c>
      <c r="C400" s="8" t="n">
        <v>80000</v>
      </c>
    </row>
    <row r="401" customFormat="false" ht="15" hidden="false" customHeight="false" outlineLevel="0" collapsed="false">
      <c r="A401" s="7" t="s">
        <v>425</v>
      </c>
      <c r="B401" s="7" t="s">
        <v>27</v>
      </c>
      <c r="C401" s="8" t="n">
        <v>80000</v>
      </c>
    </row>
    <row r="402" customFormat="false" ht="15" hidden="false" customHeight="false" outlineLevel="0" collapsed="false">
      <c r="A402" s="7" t="s">
        <v>426</v>
      </c>
      <c r="B402" s="7" t="s">
        <v>27</v>
      </c>
      <c r="C402" s="8" t="n">
        <v>80000</v>
      </c>
    </row>
    <row r="403" customFormat="false" ht="15" hidden="false" customHeight="false" outlineLevel="0" collapsed="false">
      <c r="A403" s="7" t="s">
        <v>427</v>
      </c>
      <c r="B403" s="7" t="s">
        <v>23</v>
      </c>
      <c r="C403" s="8" t="n">
        <v>55000</v>
      </c>
    </row>
    <row r="404" customFormat="false" ht="15" hidden="false" customHeight="false" outlineLevel="0" collapsed="false">
      <c r="A404" s="7" t="s">
        <v>428</v>
      </c>
      <c r="B404" s="7" t="s">
        <v>25</v>
      </c>
      <c r="C404" s="8" t="n">
        <v>35000</v>
      </c>
    </row>
    <row r="405" customFormat="false" ht="15" hidden="false" customHeight="false" outlineLevel="0" collapsed="false">
      <c r="A405" s="7" t="s">
        <v>429</v>
      </c>
      <c r="B405" s="7" t="s">
        <v>25</v>
      </c>
      <c r="C405" s="8" t="n">
        <v>35000</v>
      </c>
    </row>
    <row r="406" customFormat="false" ht="15" hidden="false" customHeight="false" outlineLevel="0" collapsed="false">
      <c r="A406" s="7" t="s">
        <v>430</v>
      </c>
      <c r="B406" s="7" t="s">
        <v>23</v>
      </c>
      <c r="C406" s="8" t="n">
        <v>55000</v>
      </c>
    </row>
    <row r="407" customFormat="false" ht="15" hidden="false" customHeight="false" outlineLevel="0" collapsed="false">
      <c r="A407" s="7" t="s">
        <v>431</v>
      </c>
      <c r="B407" s="7" t="s">
        <v>25</v>
      </c>
      <c r="C407" s="8" t="n">
        <v>35000</v>
      </c>
    </row>
    <row r="408" customFormat="false" ht="15" hidden="false" customHeight="false" outlineLevel="0" collapsed="false">
      <c r="A408" s="7" t="s">
        <v>432</v>
      </c>
      <c r="B408" s="7" t="s">
        <v>25</v>
      </c>
      <c r="C408" s="8" t="n">
        <v>35000</v>
      </c>
    </row>
    <row r="409" customFormat="false" ht="15" hidden="false" customHeight="false" outlineLevel="0" collapsed="false">
      <c r="A409" s="7" t="s">
        <v>433</v>
      </c>
      <c r="B409" s="7" t="s">
        <v>27</v>
      </c>
      <c r="C409" s="8" t="n">
        <v>80000</v>
      </c>
    </row>
    <row r="410" customFormat="false" ht="15" hidden="false" customHeight="false" outlineLevel="0" collapsed="false">
      <c r="A410" s="7" t="s">
        <v>434</v>
      </c>
      <c r="B410" s="7" t="s">
        <v>23</v>
      </c>
      <c r="C410" s="8" t="n">
        <v>55000</v>
      </c>
    </row>
    <row r="411" customFormat="false" ht="15" hidden="false" customHeight="false" outlineLevel="0" collapsed="false">
      <c r="A411" s="7" t="s">
        <v>435</v>
      </c>
      <c r="B411" s="7" t="s">
        <v>29</v>
      </c>
      <c r="C411" s="8" t="n">
        <v>25000</v>
      </c>
    </row>
    <row r="412" customFormat="false" ht="15" hidden="false" customHeight="false" outlineLevel="0" collapsed="false">
      <c r="A412" s="7" t="s">
        <v>436</v>
      </c>
      <c r="B412" s="7" t="s">
        <v>25</v>
      </c>
      <c r="C412" s="8" t="n">
        <v>35000</v>
      </c>
    </row>
    <row r="413" customFormat="false" ht="15" hidden="false" customHeight="false" outlineLevel="0" collapsed="false">
      <c r="A413" s="7" t="s">
        <v>437</v>
      </c>
      <c r="B413" s="7" t="s">
        <v>29</v>
      </c>
      <c r="C413" s="8" t="n">
        <v>25000</v>
      </c>
    </row>
    <row r="414" customFormat="false" ht="15" hidden="false" customHeight="false" outlineLevel="0" collapsed="false">
      <c r="A414" s="7" t="s">
        <v>438</v>
      </c>
      <c r="B414" s="7" t="s">
        <v>29</v>
      </c>
      <c r="C414" s="8" t="n">
        <v>25000</v>
      </c>
    </row>
    <row r="415" customFormat="false" ht="15" hidden="false" customHeight="false" outlineLevel="0" collapsed="false">
      <c r="A415" s="7" t="s">
        <v>439</v>
      </c>
      <c r="B415" s="7" t="s">
        <v>23</v>
      </c>
      <c r="C415" s="8" t="n">
        <v>55000</v>
      </c>
    </row>
    <row r="416" customFormat="false" ht="15" hidden="false" customHeight="false" outlineLevel="0" collapsed="false">
      <c r="A416" s="7" t="s">
        <v>440</v>
      </c>
      <c r="B416" s="7" t="s">
        <v>27</v>
      </c>
      <c r="C416" s="8" t="n">
        <v>80000</v>
      </c>
    </row>
    <row r="417" customFormat="false" ht="15" hidden="false" customHeight="false" outlineLevel="0" collapsed="false">
      <c r="A417" s="7" t="s">
        <v>441</v>
      </c>
      <c r="B417" s="7" t="s">
        <v>25</v>
      </c>
      <c r="C417" s="8" t="n">
        <v>35000</v>
      </c>
    </row>
    <row r="418" customFormat="false" ht="15" hidden="false" customHeight="false" outlineLevel="0" collapsed="false">
      <c r="A418" s="7" t="s">
        <v>442</v>
      </c>
      <c r="B418" s="7" t="s">
        <v>29</v>
      </c>
      <c r="C418" s="8" t="n">
        <v>25000</v>
      </c>
    </row>
    <row r="419" customFormat="false" ht="15" hidden="false" customHeight="false" outlineLevel="0" collapsed="false">
      <c r="A419" s="7" t="s">
        <v>443</v>
      </c>
      <c r="B419" s="7" t="s">
        <v>29</v>
      </c>
      <c r="C419" s="8" t="n">
        <v>25000</v>
      </c>
    </row>
    <row r="420" customFormat="false" ht="15" hidden="false" customHeight="false" outlineLevel="0" collapsed="false">
      <c r="A420" s="7" t="s">
        <v>444</v>
      </c>
      <c r="B420" s="7" t="s">
        <v>27</v>
      </c>
      <c r="C420" s="8" t="n">
        <v>80000</v>
      </c>
    </row>
    <row r="421" customFormat="false" ht="15" hidden="false" customHeight="false" outlineLevel="0" collapsed="false">
      <c r="A421" s="7" t="s">
        <v>445</v>
      </c>
      <c r="B421" s="7" t="s">
        <v>23</v>
      </c>
      <c r="C421" s="8" t="n">
        <v>55000</v>
      </c>
    </row>
    <row r="422" customFormat="false" ht="15" hidden="false" customHeight="false" outlineLevel="0" collapsed="false">
      <c r="A422" s="7" t="s">
        <v>446</v>
      </c>
      <c r="B422" s="7" t="s">
        <v>25</v>
      </c>
      <c r="C422" s="8" t="n">
        <v>35000</v>
      </c>
    </row>
    <row r="423" customFormat="false" ht="15" hidden="false" customHeight="false" outlineLevel="0" collapsed="false">
      <c r="A423" s="7" t="s">
        <v>447</v>
      </c>
      <c r="B423" s="7" t="s">
        <v>23</v>
      </c>
      <c r="C423" s="8" t="n">
        <v>55000</v>
      </c>
    </row>
    <row r="424" customFormat="false" ht="15" hidden="false" customHeight="false" outlineLevel="0" collapsed="false">
      <c r="A424" s="7" t="s">
        <v>448</v>
      </c>
      <c r="B424" s="7" t="s">
        <v>29</v>
      </c>
      <c r="C424" s="8" t="n">
        <v>25000</v>
      </c>
    </row>
    <row r="425" customFormat="false" ht="15" hidden="false" customHeight="false" outlineLevel="0" collapsed="false">
      <c r="A425" s="7" t="s">
        <v>449</v>
      </c>
      <c r="B425" s="7" t="s">
        <v>27</v>
      </c>
      <c r="C425" s="8" t="n">
        <v>80000</v>
      </c>
    </row>
    <row r="426" customFormat="false" ht="15" hidden="false" customHeight="false" outlineLevel="0" collapsed="false">
      <c r="A426" s="7" t="s">
        <v>450</v>
      </c>
      <c r="B426" s="7" t="s">
        <v>25</v>
      </c>
      <c r="C426" s="8" t="n">
        <v>35000</v>
      </c>
    </row>
    <row r="427" customFormat="false" ht="15" hidden="false" customHeight="false" outlineLevel="0" collapsed="false">
      <c r="A427" s="7" t="s">
        <v>451</v>
      </c>
      <c r="B427" s="7" t="s">
        <v>25</v>
      </c>
      <c r="C427" s="8" t="n">
        <v>35000</v>
      </c>
    </row>
    <row r="428" customFormat="false" ht="15" hidden="false" customHeight="false" outlineLevel="0" collapsed="false">
      <c r="A428" s="7" t="s">
        <v>452</v>
      </c>
      <c r="B428" s="7" t="s">
        <v>23</v>
      </c>
      <c r="C428" s="8" t="n">
        <v>55000</v>
      </c>
    </row>
    <row r="429" customFormat="false" ht="15" hidden="false" customHeight="false" outlineLevel="0" collapsed="false">
      <c r="A429" s="7" t="s">
        <v>453</v>
      </c>
      <c r="B429" s="7" t="s">
        <v>27</v>
      </c>
      <c r="C429" s="8" t="n">
        <v>80000</v>
      </c>
    </row>
    <row r="430" customFormat="false" ht="15" hidden="false" customHeight="false" outlineLevel="0" collapsed="false">
      <c r="A430" s="7" t="s">
        <v>454</v>
      </c>
      <c r="B430" s="7" t="s">
        <v>29</v>
      </c>
      <c r="C430" s="8" t="n">
        <v>25000</v>
      </c>
    </row>
    <row r="431" customFormat="false" ht="15" hidden="false" customHeight="false" outlineLevel="0" collapsed="false">
      <c r="A431" s="7" t="s">
        <v>455</v>
      </c>
      <c r="B431" s="7" t="s">
        <v>23</v>
      </c>
      <c r="C431" s="8" t="n">
        <v>55000</v>
      </c>
    </row>
    <row r="432" customFormat="false" ht="15" hidden="false" customHeight="false" outlineLevel="0" collapsed="false">
      <c r="A432" s="7" t="s">
        <v>456</v>
      </c>
      <c r="B432" s="7" t="s">
        <v>23</v>
      </c>
      <c r="C432" s="8" t="n">
        <v>55000</v>
      </c>
    </row>
    <row r="433" customFormat="false" ht="15" hidden="false" customHeight="false" outlineLevel="0" collapsed="false">
      <c r="A433" s="7" t="s">
        <v>457</v>
      </c>
      <c r="B433" s="7" t="s">
        <v>23</v>
      </c>
      <c r="C433" s="8" t="n">
        <v>55000</v>
      </c>
    </row>
    <row r="434" customFormat="false" ht="15" hidden="false" customHeight="false" outlineLevel="0" collapsed="false">
      <c r="A434" s="7" t="s">
        <v>458</v>
      </c>
      <c r="B434" s="7" t="s">
        <v>23</v>
      </c>
      <c r="C434" s="8" t="n">
        <v>55000</v>
      </c>
    </row>
    <row r="435" customFormat="false" ht="15" hidden="false" customHeight="false" outlineLevel="0" collapsed="false">
      <c r="A435" s="7" t="s">
        <v>459</v>
      </c>
      <c r="B435" s="7" t="s">
        <v>25</v>
      </c>
      <c r="C435" s="8" t="n">
        <v>35000</v>
      </c>
    </row>
    <row r="436" customFormat="false" ht="15" hidden="false" customHeight="false" outlineLevel="0" collapsed="false">
      <c r="A436" s="7" t="s">
        <v>460</v>
      </c>
      <c r="B436" s="7" t="s">
        <v>29</v>
      </c>
      <c r="C436" s="8" t="n">
        <v>25000</v>
      </c>
    </row>
    <row r="437" customFormat="false" ht="15" hidden="false" customHeight="false" outlineLevel="0" collapsed="false">
      <c r="A437" s="7" t="s">
        <v>461</v>
      </c>
      <c r="B437" s="7" t="s">
        <v>23</v>
      </c>
      <c r="C437" s="8" t="n">
        <v>55000</v>
      </c>
    </row>
    <row r="438" customFormat="false" ht="15" hidden="false" customHeight="false" outlineLevel="0" collapsed="false">
      <c r="A438" s="7" t="s">
        <v>462</v>
      </c>
      <c r="B438" s="7" t="s">
        <v>25</v>
      </c>
      <c r="C438" s="8" t="n">
        <v>35000</v>
      </c>
    </row>
    <row r="439" customFormat="false" ht="15" hidden="false" customHeight="false" outlineLevel="0" collapsed="false">
      <c r="A439" s="7" t="s">
        <v>463</v>
      </c>
      <c r="B439" s="7" t="s">
        <v>23</v>
      </c>
      <c r="C439" s="8" t="n">
        <v>55000</v>
      </c>
    </row>
    <row r="440" customFormat="false" ht="15" hidden="false" customHeight="false" outlineLevel="0" collapsed="false">
      <c r="A440" s="7" t="s">
        <v>464</v>
      </c>
      <c r="B440" s="7" t="s">
        <v>25</v>
      </c>
      <c r="C440" s="8" t="n">
        <v>35000</v>
      </c>
    </row>
    <row r="441" customFormat="false" ht="15" hidden="false" customHeight="false" outlineLevel="0" collapsed="false">
      <c r="A441" s="7" t="s">
        <v>465</v>
      </c>
      <c r="B441" s="7" t="s">
        <v>29</v>
      </c>
      <c r="C441" s="8" t="n">
        <v>25000</v>
      </c>
    </row>
    <row r="442" customFormat="false" ht="15" hidden="false" customHeight="false" outlineLevel="0" collapsed="false">
      <c r="A442" s="7" t="s">
        <v>466</v>
      </c>
      <c r="B442" s="7" t="s">
        <v>23</v>
      </c>
      <c r="C442" s="8" t="n">
        <v>55000</v>
      </c>
    </row>
    <row r="443" customFormat="false" ht="15" hidden="false" customHeight="false" outlineLevel="0" collapsed="false">
      <c r="A443" s="7" t="s">
        <v>467</v>
      </c>
      <c r="B443" s="7" t="s">
        <v>27</v>
      </c>
      <c r="C443" s="8" t="n">
        <v>80000</v>
      </c>
    </row>
    <row r="444" customFormat="false" ht="15" hidden="false" customHeight="false" outlineLevel="0" collapsed="false">
      <c r="A444" s="7" t="s">
        <v>468</v>
      </c>
      <c r="B444" s="7" t="s">
        <v>29</v>
      </c>
      <c r="C444" s="8" t="n">
        <v>25000</v>
      </c>
    </row>
    <row r="445" customFormat="false" ht="15" hidden="false" customHeight="false" outlineLevel="0" collapsed="false">
      <c r="A445" s="7" t="s">
        <v>469</v>
      </c>
      <c r="B445" s="7" t="s">
        <v>27</v>
      </c>
      <c r="C445" s="8" t="n">
        <v>80000</v>
      </c>
    </row>
    <row r="446" customFormat="false" ht="15" hidden="false" customHeight="false" outlineLevel="0" collapsed="false">
      <c r="A446" s="7" t="s">
        <v>470</v>
      </c>
      <c r="B446" s="7" t="s">
        <v>23</v>
      </c>
      <c r="C446" s="8" t="n">
        <v>55000</v>
      </c>
    </row>
    <row r="447" customFormat="false" ht="15" hidden="false" customHeight="false" outlineLevel="0" collapsed="false">
      <c r="A447" s="7" t="s">
        <v>471</v>
      </c>
      <c r="B447" s="7" t="s">
        <v>25</v>
      </c>
      <c r="C447" s="8" t="n">
        <v>35000</v>
      </c>
    </row>
    <row r="448" customFormat="false" ht="15" hidden="false" customHeight="false" outlineLevel="0" collapsed="false">
      <c r="A448" s="7" t="s">
        <v>472</v>
      </c>
      <c r="B448" s="7" t="s">
        <v>25</v>
      </c>
      <c r="C448" s="8" t="n">
        <v>35000</v>
      </c>
    </row>
    <row r="449" customFormat="false" ht="15" hidden="false" customHeight="false" outlineLevel="0" collapsed="false">
      <c r="A449" s="7" t="s">
        <v>473</v>
      </c>
      <c r="B449" s="7" t="s">
        <v>29</v>
      </c>
      <c r="C449" s="8" t="n">
        <v>25000</v>
      </c>
    </row>
    <row r="450" customFormat="false" ht="15" hidden="false" customHeight="false" outlineLevel="0" collapsed="false">
      <c r="A450" s="7" t="s">
        <v>474</v>
      </c>
      <c r="B450" s="7" t="s">
        <v>29</v>
      </c>
      <c r="C450" s="8" t="n">
        <v>25000</v>
      </c>
    </row>
    <row r="451" customFormat="false" ht="15" hidden="false" customHeight="false" outlineLevel="0" collapsed="false">
      <c r="A451" s="7" t="s">
        <v>475</v>
      </c>
      <c r="B451" s="7" t="s">
        <v>23</v>
      </c>
      <c r="C451" s="8" t="n">
        <v>55000</v>
      </c>
    </row>
    <row r="452" customFormat="false" ht="15" hidden="false" customHeight="false" outlineLevel="0" collapsed="false">
      <c r="A452" s="7" t="s">
        <v>476</v>
      </c>
      <c r="B452" s="7" t="s">
        <v>29</v>
      </c>
      <c r="C452" s="8" t="n">
        <v>25000</v>
      </c>
    </row>
    <row r="453" customFormat="false" ht="15" hidden="false" customHeight="false" outlineLevel="0" collapsed="false">
      <c r="A453" s="7" t="s">
        <v>477</v>
      </c>
      <c r="B453" s="7" t="s">
        <v>25</v>
      </c>
      <c r="C453" s="8" t="n">
        <v>35000</v>
      </c>
    </row>
    <row r="454" customFormat="false" ht="15" hidden="false" customHeight="false" outlineLevel="0" collapsed="false">
      <c r="A454" s="7" t="s">
        <v>478</v>
      </c>
      <c r="B454" s="7" t="s">
        <v>27</v>
      </c>
      <c r="C454" s="8" t="n">
        <v>80000</v>
      </c>
    </row>
    <row r="455" customFormat="false" ht="15" hidden="false" customHeight="false" outlineLevel="0" collapsed="false">
      <c r="A455" s="7" t="s">
        <v>479</v>
      </c>
      <c r="B455" s="7" t="s">
        <v>29</v>
      </c>
      <c r="C455" s="8" t="n">
        <v>25000</v>
      </c>
    </row>
    <row r="456" customFormat="false" ht="15" hidden="false" customHeight="false" outlineLevel="0" collapsed="false">
      <c r="A456" s="7" t="s">
        <v>480</v>
      </c>
      <c r="B456" s="7" t="s">
        <v>27</v>
      </c>
      <c r="C456" s="8" t="n">
        <v>80000</v>
      </c>
    </row>
    <row r="457" customFormat="false" ht="15" hidden="false" customHeight="false" outlineLevel="0" collapsed="false">
      <c r="A457" s="7" t="s">
        <v>481</v>
      </c>
      <c r="B457" s="7" t="s">
        <v>29</v>
      </c>
      <c r="C457" s="8" t="n">
        <v>25000</v>
      </c>
    </row>
    <row r="458" customFormat="false" ht="15" hidden="false" customHeight="false" outlineLevel="0" collapsed="false">
      <c r="A458" s="7" t="s">
        <v>482</v>
      </c>
      <c r="B458" s="7" t="s">
        <v>23</v>
      </c>
      <c r="C458" s="8" t="n">
        <v>55000</v>
      </c>
    </row>
    <row r="459" customFormat="false" ht="15" hidden="false" customHeight="false" outlineLevel="0" collapsed="false">
      <c r="A459" s="7" t="s">
        <v>483</v>
      </c>
      <c r="B459" s="7" t="s">
        <v>23</v>
      </c>
      <c r="C459" s="8" t="n">
        <v>55000</v>
      </c>
    </row>
    <row r="460" customFormat="false" ht="15" hidden="false" customHeight="false" outlineLevel="0" collapsed="false">
      <c r="A460" s="7" t="s">
        <v>484</v>
      </c>
      <c r="B460" s="7" t="s">
        <v>25</v>
      </c>
      <c r="C460" s="8" t="n">
        <v>35000</v>
      </c>
    </row>
    <row r="461" customFormat="false" ht="15" hidden="false" customHeight="false" outlineLevel="0" collapsed="false">
      <c r="A461" s="7" t="s">
        <v>485</v>
      </c>
      <c r="B461" s="7" t="s">
        <v>29</v>
      </c>
      <c r="C461" s="8" t="n">
        <v>25000</v>
      </c>
    </row>
    <row r="462" customFormat="false" ht="15" hidden="false" customHeight="false" outlineLevel="0" collapsed="false">
      <c r="A462" s="7" t="s">
        <v>486</v>
      </c>
      <c r="B462" s="7" t="s">
        <v>25</v>
      </c>
      <c r="C462" s="8" t="n">
        <v>35000</v>
      </c>
    </row>
    <row r="463" customFormat="false" ht="15" hidden="false" customHeight="false" outlineLevel="0" collapsed="false">
      <c r="A463" s="7" t="s">
        <v>487</v>
      </c>
      <c r="B463" s="7" t="s">
        <v>27</v>
      </c>
      <c r="C463" s="8" t="n">
        <v>80000</v>
      </c>
    </row>
    <row r="464" customFormat="false" ht="15" hidden="false" customHeight="false" outlineLevel="0" collapsed="false">
      <c r="A464" s="7" t="s">
        <v>488</v>
      </c>
      <c r="B464" s="7" t="s">
        <v>23</v>
      </c>
      <c r="C464" s="8" t="n">
        <v>55000</v>
      </c>
    </row>
    <row r="465" customFormat="false" ht="15" hidden="false" customHeight="false" outlineLevel="0" collapsed="false">
      <c r="A465" s="7" t="s">
        <v>489</v>
      </c>
      <c r="B465" s="7" t="s">
        <v>27</v>
      </c>
      <c r="C465" s="8" t="n">
        <v>80000</v>
      </c>
    </row>
    <row r="466" customFormat="false" ht="15" hidden="false" customHeight="false" outlineLevel="0" collapsed="false">
      <c r="A466" s="7" t="s">
        <v>490</v>
      </c>
      <c r="B466" s="7" t="s">
        <v>25</v>
      </c>
      <c r="C466" s="8" t="n">
        <v>35000</v>
      </c>
    </row>
    <row r="467" customFormat="false" ht="15" hidden="false" customHeight="false" outlineLevel="0" collapsed="false">
      <c r="A467" s="7" t="s">
        <v>491</v>
      </c>
      <c r="B467" s="7" t="s">
        <v>23</v>
      </c>
      <c r="C467" s="8" t="n">
        <v>55000</v>
      </c>
    </row>
    <row r="468" customFormat="false" ht="15" hidden="false" customHeight="false" outlineLevel="0" collapsed="false">
      <c r="A468" s="7" t="s">
        <v>492</v>
      </c>
      <c r="B468" s="7" t="s">
        <v>25</v>
      </c>
      <c r="C468" s="8" t="n">
        <v>35000</v>
      </c>
    </row>
    <row r="469" customFormat="false" ht="15" hidden="false" customHeight="false" outlineLevel="0" collapsed="false">
      <c r="A469" s="7" t="s">
        <v>493</v>
      </c>
      <c r="B469" s="7" t="s">
        <v>29</v>
      </c>
      <c r="C469" s="8" t="n">
        <v>25000</v>
      </c>
    </row>
    <row r="470" customFormat="false" ht="15" hidden="false" customHeight="false" outlineLevel="0" collapsed="false">
      <c r="A470" s="7" t="s">
        <v>494</v>
      </c>
      <c r="B470" s="7" t="s">
        <v>27</v>
      </c>
      <c r="C470" s="8" t="n">
        <v>80000</v>
      </c>
    </row>
    <row r="471" customFormat="false" ht="15" hidden="false" customHeight="false" outlineLevel="0" collapsed="false">
      <c r="A471" s="7" t="s">
        <v>495</v>
      </c>
      <c r="B471" s="7" t="s">
        <v>25</v>
      </c>
      <c r="C471" s="8" t="n">
        <v>35000</v>
      </c>
    </row>
    <row r="472" customFormat="false" ht="15" hidden="false" customHeight="false" outlineLevel="0" collapsed="false">
      <c r="A472" s="7" t="s">
        <v>496</v>
      </c>
      <c r="B472" s="7" t="s">
        <v>29</v>
      </c>
      <c r="C472" s="8" t="n">
        <v>25000</v>
      </c>
    </row>
    <row r="473" customFormat="false" ht="15" hidden="false" customHeight="false" outlineLevel="0" collapsed="false">
      <c r="A473" s="7" t="s">
        <v>497</v>
      </c>
      <c r="B473" s="7" t="s">
        <v>25</v>
      </c>
      <c r="C473" s="8" t="n">
        <v>35000</v>
      </c>
    </row>
    <row r="474" customFormat="false" ht="15" hidden="false" customHeight="false" outlineLevel="0" collapsed="false">
      <c r="A474" s="7" t="s">
        <v>498</v>
      </c>
      <c r="B474" s="7" t="s">
        <v>29</v>
      </c>
      <c r="C474" s="8" t="n">
        <v>25000</v>
      </c>
    </row>
    <row r="475" customFormat="false" ht="15" hidden="false" customHeight="false" outlineLevel="0" collapsed="false">
      <c r="A475" s="7" t="s">
        <v>499</v>
      </c>
      <c r="B475" s="7" t="s">
        <v>29</v>
      </c>
      <c r="C475" s="8" t="n">
        <v>25000</v>
      </c>
    </row>
    <row r="476" customFormat="false" ht="15" hidden="false" customHeight="false" outlineLevel="0" collapsed="false">
      <c r="A476" s="7" t="s">
        <v>500</v>
      </c>
      <c r="B476" s="7" t="s">
        <v>29</v>
      </c>
      <c r="C476" s="8" t="n">
        <v>25000</v>
      </c>
    </row>
    <row r="477" customFormat="false" ht="15" hidden="false" customHeight="false" outlineLevel="0" collapsed="false">
      <c r="A477" s="7" t="s">
        <v>501</v>
      </c>
      <c r="B477" s="7" t="s">
        <v>25</v>
      </c>
      <c r="C477" s="8" t="n">
        <v>35000</v>
      </c>
    </row>
    <row r="478" customFormat="false" ht="15" hidden="false" customHeight="false" outlineLevel="0" collapsed="false">
      <c r="A478" s="7" t="s">
        <v>502</v>
      </c>
      <c r="B478" s="7" t="s">
        <v>23</v>
      </c>
      <c r="C478" s="8" t="n">
        <v>55000</v>
      </c>
    </row>
    <row r="479" customFormat="false" ht="15" hidden="false" customHeight="false" outlineLevel="0" collapsed="false">
      <c r="A479" s="7" t="s">
        <v>503</v>
      </c>
      <c r="B479" s="7" t="s">
        <v>29</v>
      </c>
      <c r="C479" s="8" t="n">
        <v>25000</v>
      </c>
    </row>
    <row r="480" customFormat="false" ht="15" hidden="false" customHeight="false" outlineLevel="0" collapsed="false">
      <c r="A480" s="7" t="s">
        <v>504</v>
      </c>
      <c r="B480" s="7" t="s">
        <v>27</v>
      </c>
      <c r="C480" s="8" t="n">
        <v>80000</v>
      </c>
    </row>
    <row r="481" customFormat="false" ht="15" hidden="false" customHeight="false" outlineLevel="0" collapsed="false">
      <c r="A481" s="7" t="s">
        <v>505</v>
      </c>
      <c r="B481" s="7" t="s">
        <v>27</v>
      </c>
      <c r="C481" s="8" t="n">
        <v>80000</v>
      </c>
    </row>
    <row r="482" customFormat="false" ht="15" hidden="false" customHeight="false" outlineLevel="0" collapsed="false">
      <c r="A482" s="7" t="s">
        <v>506</v>
      </c>
      <c r="B482" s="7" t="s">
        <v>29</v>
      </c>
      <c r="C482" s="8" t="n">
        <v>25000</v>
      </c>
    </row>
    <row r="483" customFormat="false" ht="15" hidden="false" customHeight="false" outlineLevel="0" collapsed="false">
      <c r="A483" s="7" t="s">
        <v>507</v>
      </c>
      <c r="B483" s="7" t="s">
        <v>29</v>
      </c>
      <c r="C483" s="8" t="n">
        <v>25000</v>
      </c>
    </row>
    <row r="484" customFormat="false" ht="15" hidden="false" customHeight="false" outlineLevel="0" collapsed="false">
      <c r="A484" s="7" t="s">
        <v>508</v>
      </c>
      <c r="B484" s="7" t="s">
        <v>25</v>
      </c>
      <c r="C484" s="8" t="n">
        <v>35000</v>
      </c>
    </row>
    <row r="485" customFormat="false" ht="15" hidden="false" customHeight="false" outlineLevel="0" collapsed="false">
      <c r="A485" s="7" t="s">
        <v>509</v>
      </c>
      <c r="B485" s="7" t="s">
        <v>27</v>
      </c>
      <c r="C485" s="8" t="n">
        <v>80000</v>
      </c>
    </row>
    <row r="486" customFormat="false" ht="15" hidden="false" customHeight="false" outlineLevel="0" collapsed="false">
      <c r="A486" s="7" t="s">
        <v>510</v>
      </c>
      <c r="B486" s="7" t="s">
        <v>23</v>
      </c>
      <c r="C486" s="8" t="n">
        <v>55000</v>
      </c>
    </row>
    <row r="487" customFormat="false" ht="15" hidden="false" customHeight="false" outlineLevel="0" collapsed="false">
      <c r="A487" s="7" t="s">
        <v>511</v>
      </c>
      <c r="B487" s="7" t="s">
        <v>29</v>
      </c>
      <c r="C487" s="8" t="n">
        <v>25000</v>
      </c>
    </row>
    <row r="488" customFormat="false" ht="15" hidden="false" customHeight="false" outlineLevel="0" collapsed="false">
      <c r="A488" s="7" t="s">
        <v>512</v>
      </c>
      <c r="B488" s="7" t="s">
        <v>27</v>
      </c>
      <c r="C488" s="8" t="n">
        <v>80000</v>
      </c>
    </row>
    <row r="489" customFormat="false" ht="15" hidden="false" customHeight="false" outlineLevel="0" collapsed="false">
      <c r="A489" s="7" t="s">
        <v>513</v>
      </c>
      <c r="B489" s="7" t="s">
        <v>29</v>
      </c>
      <c r="C489" s="8" t="n">
        <v>25000</v>
      </c>
    </row>
    <row r="490" customFormat="false" ht="15" hidden="false" customHeight="false" outlineLevel="0" collapsed="false">
      <c r="A490" s="7" t="s">
        <v>514</v>
      </c>
      <c r="B490" s="7" t="s">
        <v>29</v>
      </c>
      <c r="C490" s="8" t="n">
        <v>25000</v>
      </c>
    </row>
    <row r="491" customFormat="false" ht="15" hidden="false" customHeight="false" outlineLevel="0" collapsed="false">
      <c r="A491" s="7" t="s">
        <v>515</v>
      </c>
      <c r="B491" s="7" t="s">
        <v>29</v>
      </c>
      <c r="C491" s="8" t="n">
        <v>25000</v>
      </c>
    </row>
    <row r="492" customFormat="false" ht="15" hidden="false" customHeight="false" outlineLevel="0" collapsed="false">
      <c r="A492" s="7" t="s">
        <v>516</v>
      </c>
      <c r="B492" s="7" t="s">
        <v>27</v>
      </c>
      <c r="C492" s="8" t="n">
        <v>80000</v>
      </c>
    </row>
    <row r="493" customFormat="false" ht="15" hidden="false" customHeight="false" outlineLevel="0" collapsed="false">
      <c r="A493" s="7" t="s">
        <v>517</v>
      </c>
      <c r="B493" s="7" t="s">
        <v>23</v>
      </c>
      <c r="C493" s="8" t="n">
        <v>55000</v>
      </c>
    </row>
    <row r="494" customFormat="false" ht="15" hidden="false" customHeight="false" outlineLevel="0" collapsed="false">
      <c r="A494" s="7" t="s">
        <v>518</v>
      </c>
      <c r="B494" s="7" t="s">
        <v>29</v>
      </c>
      <c r="C494" s="8" t="n">
        <v>25000</v>
      </c>
    </row>
    <row r="495" customFormat="false" ht="15" hidden="false" customHeight="false" outlineLevel="0" collapsed="false">
      <c r="A495" s="7" t="s">
        <v>519</v>
      </c>
      <c r="B495" s="7" t="s">
        <v>23</v>
      </c>
      <c r="C495" s="8" t="n">
        <v>55000</v>
      </c>
    </row>
    <row r="496" customFormat="false" ht="15" hidden="false" customHeight="false" outlineLevel="0" collapsed="false">
      <c r="A496" s="7" t="s">
        <v>520</v>
      </c>
      <c r="B496" s="7" t="s">
        <v>25</v>
      </c>
      <c r="C496" s="8" t="n">
        <v>35000</v>
      </c>
    </row>
    <row r="497" customFormat="false" ht="15" hidden="false" customHeight="false" outlineLevel="0" collapsed="false">
      <c r="A497" s="7" t="s">
        <v>521</v>
      </c>
      <c r="B497" s="7" t="s">
        <v>25</v>
      </c>
      <c r="C497" s="8" t="n">
        <v>35000</v>
      </c>
    </row>
    <row r="498" customFormat="false" ht="15" hidden="false" customHeight="false" outlineLevel="0" collapsed="false">
      <c r="A498" s="7" t="s">
        <v>522</v>
      </c>
      <c r="B498" s="7" t="s">
        <v>25</v>
      </c>
      <c r="C498" s="8" t="n">
        <v>35000</v>
      </c>
    </row>
    <row r="499" customFormat="false" ht="15" hidden="false" customHeight="false" outlineLevel="0" collapsed="false">
      <c r="A499" s="7" t="s">
        <v>523</v>
      </c>
      <c r="B499" s="7" t="s">
        <v>27</v>
      </c>
      <c r="C499" s="8" t="n">
        <v>80000</v>
      </c>
    </row>
    <row r="500" customFormat="false" ht="15" hidden="false" customHeight="false" outlineLevel="0" collapsed="false">
      <c r="A500" s="7" t="s">
        <v>524</v>
      </c>
      <c r="B500" s="7" t="s">
        <v>27</v>
      </c>
      <c r="C500" s="8" t="n">
        <v>80000</v>
      </c>
    </row>
    <row r="501" customFormat="false" ht="15" hidden="false" customHeight="false" outlineLevel="0" collapsed="false">
      <c r="A501" s="7" t="s">
        <v>525</v>
      </c>
      <c r="B501" s="7" t="s">
        <v>27</v>
      </c>
      <c r="C501" s="8" t="n">
        <v>80000</v>
      </c>
    </row>
  </sheetData>
  <autoFilter ref="A1:C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24" hidden="false" customHeight="true" outlineLevel="0" collapsed="false">
      <c r="A1" s="6" t="s">
        <v>19</v>
      </c>
      <c r="B1" s="6" t="s">
        <v>526</v>
      </c>
      <c r="C1" s="6" t="s">
        <v>527</v>
      </c>
      <c r="D1" s="6" t="s">
        <v>21</v>
      </c>
    </row>
    <row r="2" customFormat="false" ht="15" hidden="false" customHeight="false" outlineLevel="0" collapsed="false">
      <c r="A2" s="7" t="s">
        <v>223</v>
      </c>
      <c r="B2" s="7" t="s">
        <v>528</v>
      </c>
      <c r="C2" s="7" t="s">
        <v>529</v>
      </c>
      <c r="D2" s="9" t="n">
        <f aca="false">IFERROR(VLOOKUP(TRIM(CLEAN(SUBSTITUTE(A2,_xlfn.UNICHAR(160),""))),GiaCuoc!$A$2:$C$501,3,FALSE()),"Kiểm tra mã")</f>
        <v>55000</v>
      </c>
    </row>
    <row r="3" customFormat="false" ht="15" hidden="false" customHeight="false" outlineLevel="0" collapsed="false">
      <c r="A3" s="7" t="s">
        <v>330</v>
      </c>
      <c r="B3" s="7" t="s">
        <v>528</v>
      </c>
      <c r="C3" s="7" t="s">
        <v>530</v>
      </c>
      <c r="D3" s="9" t="n">
        <f aca="false">IFERROR(VLOOKUP(TRIM(CLEAN(SUBSTITUTE(A3,_xlfn.UNICHAR(160),""))),GiaCuoc!$A$2:$C$501,3,FALSE()),"Kiểm tra mã")</f>
        <v>35000</v>
      </c>
    </row>
    <row r="4" customFormat="false" ht="15" hidden="false" customHeight="false" outlineLevel="0" collapsed="false">
      <c r="A4" s="7" t="s">
        <v>47</v>
      </c>
      <c r="B4" s="7" t="s">
        <v>528</v>
      </c>
      <c r="C4" s="7" t="s">
        <v>530</v>
      </c>
      <c r="D4" s="9" t="n">
        <f aca="false">IFERROR(VLOOKUP(TRIM(CLEAN(SUBSTITUTE(A4,_xlfn.UNICHAR(160),""))),GiaCuoc!$A$2:$C$501,3,FALSE()),"Kiểm tra mã")</f>
        <v>80000</v>
      </c>
    </row>
    <row r="5" customFormat="false" ht="15" hidden="false" customHeight="false" outlineLevel="0" collapsed="false">
      <c r="A5" s="7" t="s">
        <v>442</v>
      </c>
      <c r="B5" s="7" t="s">
        <v>531</v>
      </c>
      <c r="C5" s="7" t="s">
        <v>529</v>
      </c>
      <c r="D5" s="9" t="n">
        <f aca="false">IFERROR(VLOOKUP(TRIM(CLEAN(SUBSTITUTE(A5,_xlfn.UNICHAR(160),""))),GiaCuoc!$A$2:$C$501,3,FALSE()),"Kiểm tra mã")</f>
        <v>25000</v>
      </c>
    </row>
    <row r="6" customFormat="false" ht="15" hidden="false" customHeight="false" outlineLevel="0" collapsed="false">
      <c r="A6" s="7" t="s">
        <v>219</v>
      </c>
      <c r="B6" s="7" t="s">
        <v>532</v>
      </c>
      <c r="C6" s="7" t="s">
        <v>530</v>
      </c>
      <c r="D6" s="9" t="n">
        <f aca="false">IFERROR(VLOOKUP(TRIM(CLEAN(SUBSTITUTE(A6,_xlfn.UNICHAR(160),""))),GiaCuoc!$A$2:$C$501,3,FALSE()),"Kiểm tra mã")</f>
        <v>55000</v>
      </c>
    </row>
    <row r="7" customFormat="false" ht="15" hidden="false" customHeight="false" outlineLevel="0" collapsed="false">
      <c r="A7" s="7" t="s">
        <v>533</v>
      </c>
      <c r="B7" s="7" t="s">
        <v>534</v>
      </c>
      <c r="C7" s="7" t="s">
        <v>530</v>
      </c>
      <c r="D7" s="9" t="n">
        <f aca="false">IFERROR(VLOOKUP(TRIM(CLEAN(SUBSTITUTE(A7,_xlfn.UNICHAR(160),""))),GiaCuoc!$A$2:$C$501,3,FALSE()),"Kiểm tra mã")</f>
        <v>35000</v>
      </c>
    </row>
    <row r="8" customFormat="false" ht="15" hidden="false" customHeight="false" outlineLevel="0" collapsed="false">
      <c r="A8" s="7" t="s">
        <v>295</v>
      </c>
      <c r="B8" s="7" t="s">
        <v>535</v>
      </c>
      <c r="C8" s="7" t="s">
        <v>529</v>
      </c>
      <c r="D8" s="9" t="n">
        <f aca="false">IFERROR(VLOOKUP(TRIM(CLEAN(SUBSTITUTE(A8,_xlfn.UNICHAR(160),""))),GiaCuoc!$A$2:$C$501,3,FALSE()),"Kiểm tra mã")</f>
        <v>55000</v>
      </c>
    </row>
    <row r="9" customFormat="false" ht="15" hidden="false" customHeight="false" outlineLevel="0" collapsed="false">
      <c r="A9" s="7" t="s">
        <v>302</v>
      </c>
      <c r="B9" s="7" t="s">
        <v>528</v>
      </c>
      <c r="C9" s="7" t="s">
        <v>536</v>
      </c>
      <c r="D9" s="9" t="n">
        <f aca="false">IFERROR(VLOOKUP(TRIM(CLEAN(SUBSTITUTE(A9,_xlfn.UNICHAR(160),""))),GiaCuoc!$A$2:$C$501,3,FALSE()),"Kiểm tra mã")</f>
        <v>25000</v>
      </c>
    </row>
    <row r="10" customFormat="false" ht="15" hidden="false" customHeight="false" outlineLevel="0" collapsed="false">
      <c r="A10" s="7" t="s">
        <v>465</v>
      </c>
      <c r="B10" s="7" t="s">
        <v>537</v>
      </c>
      <c r="C10" s="7" t="s">
        <v>530</v>
      </c>
      <c r="D10" s="9" t="n">
        <f aca="false">IFERROR(VLOOKUP(TRIM(CLEAN(SUBSTITUTE(A10,_xlfn.UNICHAR(160),""))),GiaCuoc!$A$2:$C$501,3,FALSE()),"Kiểm tra mã")</f>
        <v>25000</v>
      </c>
    </row>
    <row r="11" customFormat="false" ht="15" hidden="false" customHeight="false" outlineLevel="0" collapsed="false">
      <c r="A11" s="7" t="s">
        <v>450</v>
      </c>
      <c r="B11" s="7" t="s">
        <v>538</v>
      </c>
      <c r="C11" s="7" t="s">
        <v>536</v>
      </c>
      <c r="D11" s="9" t="n">
        <f aca="false">IFERROR(VLOOKUP(TRIM(CLEAN(SUBSTITUTE(A11,_xlfn.UNICHAR(160),""))),GiaCuoc!$A$2:$C$501,3,FALSE()),"Kiểm tra mã")</f>
        <v>35000</v>
      </c>
    </row>
    <row r="12" customFormat="false" ht="15" hidden="false" customHeight="false" outlineLevel="0" collapsed="false">
      <c r="A12" s="7" t="s">
        <v>503</v>
      </c>
      <c r="B12" s="7" t="s">
        <v>539</v>
      </c>
      <c r="C12" s="7" t="s">
        <v>530</v>
      </c>
      <c r="D12" s="9" t="n">
        <f aca="false">IFERROR(VLOOKUP(TRIM(CLEAN(SUBSTITUTE(A12,_xlfn.UNICHAR(160),""))),GiaCuoc!$A$2:$C$501,3,FALSE()),"Kiểm tra mã")</f>
        <v>25000</v>
      </c>
    </row>
    <row r="13" customFormat="false" ht="15" hidden="false" customHeight="false" outlineLevel="0" collapsed="false">
      <c r="A13" s="7" t="s">
        <v>358</v>
      </c>
      <c r="B13" s="7" t="s">
        <v>538</v>
      </c>
      <c r="C13" s="7" t="s">
        <v>530</v>
      </c>
      <c r="D13" s="9" t="n">
        <f aca="false">IFERROR(VLOOKUP(TRIM(CLEAN(SUBSTITUTE(A13,_xlfn.UNICHAR(160),""))),GiaCuoc!$A$2:$C$501,3,FALSE()),"Kiểm tra mã")</f>
        <v>55000</v>
      </c>
    </row>
    <row r="14" customFormat="false" ht="15" hidden="false" customHeight="false" outlineLevel="0" collapsed="false">
      <c r="A14" s="7" t="s">
        <v>167</v>
      </c>
      <c r="B14" s="7" t="s">
        <v>539</v>
      </c>
      <c r="C14" s="7" t="s">
        <v>530</v>
      </c>
      <c r="D14" s="9" t="n">
        <f aca="false">IFERROR(VLOOKUP(TRIM(CLEAN(SUBSTITUTE(A14,_xlfn.UNICHAR(160),""))),GiaCuoc!$A$2:$C$501,3,FALSE()),"Kiểm tra mã")</f>
        <v>25000</v>
      </c>
    </row>
    <row r="15" customFormat="false" ht="15" hidden="false" customHeight="false" outlineLevel="0" collapsed="false">
      <c r="A15" s="7" t="s">
        <v>350</v>
      </c>
      <c r="B15" s="7" t="s">
        <v>539</v>
      </c>
      <c r="C15" s="7" t="s">
        <v>529</v>
      </c>
      <c r="D15" s="9" t="n">
        <f aca="false">IFERROR(VLOOKUP(TRIM(CLEAN(SUBSTITUTE(A15,_xlfn.UNICHAR(160),""))),GiaCuoc!$A$2:$C$501,3,FALSE()),"Kiểm tra mã")</f>
        <v>25000</v>
      </c>
    </row>
    <row r="16" customFormat="false" ht="15" hidden="false" customHeight="false" outlineLevel="0" collapsed="false">
      <c r="A16" s="7" t="s">
        <v>176</v>
      </c>
      <c r="B16" s="7" t="s">
        <v>540</v>
      </c>
      <c r="C16" s="7" t="s">
        <v>529</v>
      </c>
      <c r="D16" s="9" t="n">
        <f aca="false">IFERROR(VLOOKUP(TRIM(CLEAN(SUBSTITUTE(A16,_xlfn.UNICHAR(160),""))),GiaCuoc!$A$2:$C$501,3,FALSE()),"Kiểm tra mã")</f>
        <v>80000</v>
      </c>
    </row>
    <row r="17" customFormat="false" ht="15" hidden="false" customHeight="false" outlineLevel="0" collapsed="false">
      <c r="A17" s="7" t="s">
        <v>399</v>
      </c>
      <c r="B17" s="7" t="s">
        <v>528</v>
      </c>
      <c r="C17" s="7" t="s">
        <v>530</v>
      </c>
      <c r="D17" s="9" t="n">
        <f aca="false">IFERROR(VLOOKUP(TRIM(CLEAN(SUBSTITUTE(A17,_xlfn.UNICHAR(160),""))),GiaCuoc!$A$2:$C$501,3,FALSE()),"Kiểm tra mã")</f>
        <v>35000</v>
      </c>
    </row>
    <row r="18" customFormat="false" ht="15" hidden="false" customHeight="false" outlineLevel="0" collapsed="false">
      <c r="A18" s="7" t="s">
        <v>48</v>
      </c>
      <c r="B18" s="7" t="s">
        <v>540</v>
      </c>
      <c r="C18" s="7" t="s">
        <v>530</v>
      </c>
      <c r="D18" s="9" t="n">
        <f aca="false">IFERROR(VLOOKUP(TRIM(CLEAN(SUBSTITUTE(A18,_xlfn.UNICHAR(160),""))),GiaCuoc!$A$2:$C$501,3,FALSE()),"Kiểm tra mã")</f>
        <v>25000</v>
      </c>
    </row>
    <row r="19" customFormat="false" ht="15" hidden="false" customHeight="false" outlineLevel="0" collapsed="false">
      <c r="A19" s="7" t="s">
        <v>541</v>
      </c>
      <c r="B19" s="7" t="s">
        <v>532</v>
      </c>
      <c r="C19" s="7" t="s">
        <v>536</v>
      </c>
      <c r="D19" s="9" t="n">
        <f aca="false">IFERROR(VLOOKUP(TRIM(CLEAN(SUBSTITUTE(A19,_xlfn.UNICHAR(160),""))),GiaCuoc!$A$2:$C$501,3,FALSE()),"Kiểm tra mã")</f>
        <v>55000</v>
      </c>
    </row>
    <row r="20" customFormat="false" ht="15" hidden="false" customHeight="false" outlineLevel="0" collapsed="false">
      <c r="A20" s="7" t="s">
        <v>114</v>
      </c>
      <c r="B20" s="7" t="s">
        <v>528</v>
      </c>
      <c r="C20" s="7" t="s">
        <v>530</v>
      </c>
      <c r="D20" s="9" t="n">
        <f aca="false">IFERROR(VLOOKUP(TRIM(CLEAN(SUBSTITUTE(A20,_xlfn.UNICHAR(160),""))),GiaCuoc!$A$2:$C$501,3,FALSE()),"Kiểm tra mã")</f>
        <v>35000</v>
      </c>
    </row>
    <row r="21" customFormat="false" ht="15" hidden="false" customHeight="false" outlineLevel="0" collapsed="false">
      <c r="A21" s="7" t="s">
        <v>109</v>
      </c>
      <c r="B21" s="7" t="s">
        <v>534</v>
      </c>
      <c r="C21" s="7" t="s">
        <v>536</v>
      </c>
      <c r="D21" s="9" t="n">
        <f aca="false">IFERROR(VLOOKUP(TRIM(CLEAN(SUBSTITUTE(A21,_xlfn.UNICHAR(160),""))),GiaCuoc!$A$2:$C$501,3,FALSE()),"Kiểm tra mã")</f>
        <v>55000</v>
      </c>
    </row>
    <row r="22" customFormat="false" ht="15" hidden="false" customHeight="false" outlineLevel="0" collapsed="false">
      <c r="A22" s="7" t="s">
        <v>190</v>
      </c>
      <c r="B22" s="7" t="s">
        <v>531</v>
      </c>
      <c r="C22" s="7" t="s">
        <v>529</v>
      </c>
      <c r="D22" s="9" t="n">
        <f aca="false">IFERROR(VLOOKUP(TRIM(CLEAN(SUBSTITUTE(A22,_xlfn.UNICHAR(160),""))),GiaCuoc!$A$2:$C$501,3,FALSE()),"Kiểm tra mã")</f>
        <v>35000</v>
      </c>
    </row>
    <row r="23" customFormat="false" ht="15" hidden="false" customHeight="false" outlineLevel="0" collapsed="false">
      <c r="A23" s="7" t="s">
        <v>79</v>
      </c>
      <c r="B23" s="7" t="s">
        <v>532</v>
      </c>
      <c r="C23" s="7" t="s">
        <v>529</v>
      </c>
      <c r="D23" s="9" t="n">
        <f aca="false">IFERROR(VLOOKUP(TRIM(CLEAN(SUBSTITUTE(A23,_xlfn.UNICHAR(160),""))),GiaCuoc!$A$2:$C$501,3,FALSE()),"Kiểm tra mã")</f>
        <v>80000</v>
      </c>
    </row>
    <row r="24" customFormat="false" ht="15" hidden="false" customHeight="false" outlineLevel="0" collapsed="false">
      <c r="A24" s="7" t="s">
        <v>506</v>
      </c>
      <c r="B24" s="7" t="s">
        <v>540</v>
      </c>
      <c r="C24" s="7" t="s">
        <v>530</v>
      </c>
      <c r="D24" s="9" t="n">
        <f aca="false">IFERROR(VLOOKUP(TRIM(CLEAN(SUBSTITUTE(A24,_xlfn.UNICHAR(160),""))),GiaCuoc!$A$2:$C$501,3,FALSE()),"Kiểm tra mã")</f>
        <v>25000</v>
      </c>
    </row>
    <row r="25" customFormat="false" ht="15" hidden="false" customHeight="false" outlineLevel="0" collapsed="false">
      <c r="A25" s="7" t="s">
        <v>356</v>
      </c>
      <c r="B25" s="7" t="s">
        <v>532</v>
      </c>
      <c r="C25" s="7" t="s">
        <v>536</v>
      </c>
      <c r="D25" s="9" t="n">
        <f aca="false">IFERROR(VLOOKUP(TRIM(CLEAN(SUBSTITUTE(A25,_xlfn.UNICHAR(160),""))),GiaCuoc!$A$2:$C$501,3,FALSE()),"Kiểm tra mã")</f>
        <v>25000</v>
      </c>
    </row>
    <row r="26" customFormat="false" ht="15" hidden="false" customHeight="false" outlineLevel="0" collapsed="false">
      <c r="A26" s="7" t="s">
        <v>524</v>
      </c>
      <c r="B26" s="7" t="s">
        <v>532</v>
      </c>
      <c r="C26" s="7" t="s">
        <v>529</v>
      </c>
      <c r="D26" s="9" t="n">
        <f aca="false">IFERROR(VLOOKUP(TRIM(CLEAN(SUBSTITUTE(A26,_xlfn.UNICHAR(160),""))),GiaCuoc!$A$2:$C$501,3,FALSE()),"Kiểm tra mã")</f>
        <v>80000</v>
      </c>
    </row>
    <row r="27" customFormat="false" ht="15" hidden="false" customHeight="false" outlineLevel="0" collapsed="false">
      <c r="A27" s="7" t="s">
        <v>444</v>
      </c>
      <c r="B27" s="7" t="s">
        <v>528</v>
      </c>
      <c r="C27" s="7" t="s">
        <v>530</v>
      </c>
      <c r="D27" s="9" t="n">
        <f aca="false">IFERROR(VLOOKUP(TRIM(CLEAN(SUBSTITUTE(A27,_xlfn.UNICHAR(160),""))),GiaCuoc!$A$2:$C$501,3,FALSE()),"Kiểm tra mã")</f>
        <v>80000</v>
      </c>
    </row>
    <row r="28" customFormat="false" ht="15" hidden="false" customHeight="false" outlineLevel="0" collapsed="false">
      <c r="A28" s="7" t="s">
        <v>378</v>
      </c>
      <c r="B28" s="7" t="s">
        <v>534</v>
      </c>
      <c r="C28" s="7" t="s">
        <v>529</v>
      </c>
      <c r="D28" s="9" t="n">
        <f aca="false">IFERROR(VLOOKUP(TRIM(CLEAN(SUBSTITUTE(A28,_xlfn.UNICHAR(160),""))),GiaCuoc!$A$2:$C$501,3,FALSE()),"Kiểm tra mã")</f>
        <v>55000</v>
      </c>
    </row>
    <row r="29" customFormat="false" ht="15" hidden="false" customHeight="false" outlineLevel="0" collapsed="false">
      <c r="A29" s="7" t="s">
        <v>343</v>
      </c>
      <c r="B29" s="7" t="s">
        <v>531</v>
      </c>
      <c r="C29" s="7" t="s">
        <v>530</v>
      </c>
      <c r="D29" s="9" t="n">
        <f aca="false">IFERROR(VLOOKUP(TRIM(CLEAN(SUBSTITUTE(A29,_xlfn.UNICHAR(160),""))),GiaCuoc!$A$2:$C$501,3,FALSE()),"Kiểm tra mã")</f>
        <v>80000</v>
      </c>
    </row>
    <row r="30" customFormat="false" ht="15" hidden="false" customHeight="false" outlineLevel="0" collapsed="false">
      <c r="A30" s="7" t="s">
        <v>321</v>
      </c>
      <c r="B30" s="7" t="s">
        <v>528</v>
      </c>
      <c r="C30" s="7" t="s">
        <v>529</v>
      </c>
      <c r="D30" s="9" t="n">
        <f aca="false">IFERROR(VLOOKUP(TRIM(CLEAN(SUBSTITUTE(A30,_xlfn.UNICHAR(160),""))),GiaCuoc!$A$2:$C$501,3,FALSE()),"Kiểm tra mã")</f>
        <v>80000</v>
      </c>
    </row>
    <row r="31" customFormat="false" ht="15" hidden="false" customHeight="false" outlineLevel="0" collapsed="false">
      <c r="A31" s="7" t="s">
        <v>149</v>
      </c>
      <c r="B31" s="7" t="s">
        <v>540</v>
      </c>
      <c r="C31" s="7" t="s">
        <v>536</v>
      </c>
      <c r="D31" s="9" t="n">
        <f aca="false">IFERROR(VLOOKUP(TRIM(CLEAN(SUBSTITUTE(A31,_xlfn.UNICHAR(160),""))),GiaCuoc!$A$2:$C$501,3,FALSE()),"Kiểm tra mã")</f>
        <v>35000</v>
      </c>
    </row>
    <row r="32" customFormat="false" ht="15" hidden="false" customHeight="false" outlineLevel="0" collapsed="false">
      <c r="A32" s="7" t="s">
        <v>419</v>
      </c>
      <c r="B32" s="7" t="s">
        <v>528</v>
      </c>
      <c r="C32" s="7" t="s">
        <v>530</v>
      </c>
      <c r="D32" s="9" t="n">
        <f aca="false">IFERROR(VLOOKUP(TRIM(CLEAN(SUBSTITUTE(A32,_xlfn.UNICHAR(160),""))),GiaCuoc!$A$2:$C$501,3,FALSE()),"Kiểm tra mã")</f>
        <v>35000</v>
      </c>
    </row>
    <row r="33" customFormat="false" ht="15" hidden="false" customHeight="false" outlineLevel="0" collapsed="false">
      <c r="A33" s="7" t="s">
        <v>366</v>
      </c>
      <c r="B33" s="7" t="s">
        <v>534</v>
      </c>
      <c r="C33" s="7" t="s">
        <v>529</v>
      </c>
      <c r="D33" s="9" t="n">
        <f aca="false">IFERROR(VLOOKUP(TRIM(CLEAN(SUBSTITUTE(A33,_xlfn.UNICHAR(160),""))),GiaCuoc!$A$2:$C$501,3,FALSE()),"Kiểm tra mã")</f>
        <v>55000</v>
      </c>
    </row>
    <row r="34" customFormat="false" ht="15" hidden="false" customHeight="false" outlineLevel="0" collapsed="false">
      <c r="A34" s="7" t="s">
        <v>142</v>
      </c>
      <c r="B34" s="7" t="s">
        <v>534</v>
      </c>
      <c r="C34" s="7" t="s">
        <v>530</v>
      </c>
      <c r="D34" s="9" t="n">
        <f aca="false">IFERROR(VLOOKUP(TRIM(CLEAN(SUBSTITUTE(A34,_xlfn.UNICHAR(160),""))),GiaCuoc!$A$2:$C$501,3,FALSE()),"Kiểm tra mã")</f>
        <v>55000</v>
      </c>
    </row>
    <row r="35" customFormat="false" ht="15" hidden="false" customHeight="false" outlineLevel="0" collapsed="false">
      <c r="A35" s="7" t="s">
        <v>338</v>
      </c>
      <c r="B35" s="7" t="s">
        <v>532</v>
      </c>
      <c r="C35" s="7" t="s">
        <v>529</v>
      </c>
      <c r="D35" s="9" t="n">
        <f aca="false">IFERROR(VLOOKUP(TRIM(CLEAN(SUBSTITUTE(A35,_xlfn.UNICHAR(160),""))),GiaCuoc!$A$2:$C$501,3,FALSE()),"Kiểm tra mã")</f>
        <v>80000</v>
      </c>
    </row>
    <row r="36" customFormat="false" ht="15" hidden="false" customHeight="false" outlineLevel="0" collapsed="false">
      <c r="A36" s="7" t="s">
        <v>56</v>
      </c>
      <c r="B36" s="7" t="s">
        <v>538</v>
      </c>
      <c r="C36" s="7" t="s">
        <v>530</v>
      </c>
      <c r="D36" s="9" t="n">
        <f aca="false">IFERROR(VLOOKUP(TRIM(CLEAN(SUBSTITUTE(A36,_xlfn.UNICHAR(160),""))),GiaCuoc!$A$2:$C$501,3,FALSE()),"Kiểm tra mã")</f>
        <v>55000</v>
      </c>
    </row>
    <row r="37" customFormat="false" ht="15" hidden="false" customHeight="false" outlineLevel="0" collapsed="false">
      <c r="A37" s="7" t="s">
        <v>325</v>
      </c>
      <c r="B37" s="7" t="s">
        <v>540</v>
      </c>
      <c r="C37" s="7" t="s">
        <v>529</v>
      </c>
      <c r="D37" s="9" t="n">
        <f aca="false">IFERROR(VLOOKUP(TRIM(CLEAN(SUBSTITUTE(A37,_xlfn.UNICHAR(160),""))),GiaCuoc!$A$2:$C$501,3,FALSE()),"Kiểm tra mã")</f>
        <v>80000</v>
      </c>
    </row>
    <row r="38" customFormat="false" ht="15" hidden="false" customHeight="false" outlineLevel="0" collapsed="false">
      <c r="A38" s="7" t="s">
        <v>117</v>
      </c>
      <c r="B38" s="7" t="s">
        <v>537</v>
      </c>
      <c r="C38" s="7" t="s">
        <v>529</v>
      </c>
      <c r="D38" s="9" t="n">
        <f aca="false">IFERROR(VLOOKUP(TRIM(CLEAN(SUBSTITUTE(A38,_xlfn.UNICHAR(160),""))),GiaCuoc!$A$2:$C$501,3,FALSE()),"Kiểm tra mã")</f>
        <v>35000</v>
      </c>
    </row>
    <row r="39" customFormat="false" ht="15" hidden="false" customHeight="false" outlineLevel="0" collapsed="false">
      <c r="A39" s="7" t="s">
        <v>246</v>
      </c>
      <c r="B39" s="7" t="s">
        <v>538</v>
      </c>
      <c r="C39" s="7" t="s">
        <v>529</v>
      </c>
      <c r="D39" s="9" t="n">
        <f aca="false">IFERROR(VLOOKUP(TRIM(CLEAN(SUBSTITUTE(A39,_xlfn.UNICHAR(160),""))),GiaCuoc!$A$2:$C$501,3,FALSE()),"Kiểm tra mã")</f>
        <v>55000</v>
      </c>
    </row>
    <row r="40" customFormat="false" ht="15" hidden="false" customHeight="false" outlineLevel="0" collapsed="false">
      <c r="A40" s="7" t="s">
        <v>197</v>
      </c>
      <c r="B40" s="7" t="s">
        <v>538</v>
      </c>
      <c r="C40" s="7" t="s">
        <v>529</v>
      </c>
      <c r="D40" s="9" t="n">
        <f aca="false">IFERROR(VLOOKUP(TRIM(CLEAN(SUBSTITUTE(A40,_xlfn.UNICHAR(160),""))),GiaCuoc!$A$2:$C$501,3,FALSE()),"Kiểm tra mã")</f>
        <v>35000</v>
      </c>
    </row>
    <row r="41" customFormat="false" ht="15" hidden="false" customHeight="false" outlineLevel="0" collapsed="false">
      <c r="A41" s="7" t="s">
        <v>329</v>
      </c>
      <c r="B41" s="7" t="s">
        <v>537</v>
      </c>
      <c r="C41" s="7" t="s">
        <v>530</v>
      </c>
      <c r="D41" s="9" t="n">
        <f aca="false">IFERROR(VLOOKUP(TRIM(CLEAN(SUBSTITUTE(A41,_xlfn.UNICHAR(160),""))),GiaCuoc!$A$2:$C$501,3,FALSE()),"Kiểm tra mã")</f>
        <v>25000</v>
      </c>
    </row>
    <row r="42" customFormat="false" ht="15" hidden="false" customHeight="false" outlineLevel="0" collapsed="false">
      <c r="A42" s="7" t="s">
        <v>414</v>
      </c>
      <c r="B42" s="7" t="s">
        <v>537</v>
      </c>
      <c r="C42" s="7" t="s">
        <v>530</v>
      </c>
      <c r="D42" s="9" t="n">
        <f aca="false">IFERROR(VLOOKUP(TRIM(CLEAN(SUBSTITUTE(A42,_xlfn.UNICHAR(160),""))),GiaCuoc!$A$2:$C$501,3,FALSE()),"Kiểm tra mã")</f>
        <v>25000</v>
      </c>
    </row>
    <row r="43" customFormat="false" ht="15" hidden="false" customHeight="false" outlineLevel="0" collapsed="false">
      <c r="A43" s="7" t="s">
        <v>456</v>
      </c>
      <c r="B43" s="7" t="s">
        <v>531</v>
      </c>
      <c r="C43" s="7" t="s">
        <v>529</v>
      </c>
      <c r="D43" s="9" t="n">
        <f aca="false">IFERROR(VLOOKUP(TRIM(CLEAN(SUBSTITUTE(A43,_xlfn.UNICHAR(160),""))),GiaCuoc!$A$2:$C$501,3,FALSE()),"Kiểm tra mã")</f>
        <v>55000</v>
      </c>
    </row>
    <row r="44" customFormat="false" ht="15" hidden="false" customHeight="false" outlineLevel="0" collapsed="false">
      <c r="A44" s="7" t="s">
        <v>542</v>
      </c>
      <c r="B44" s="7" t="s">
        <v>543</v>
      </c>
      <c r="C44" s="7" t="s">
        <v>529</v>
      </c>
      <c r="D44" s="9" t="n">
        <f aca="false">IFERROR(VLOOKUP(TRIM(CLEAN(SUBSTITUTE(A44,_xlfn.UNICHAR(160),""))),GiaCuoc!$A$2:$C$501,3,FALSE()),"Kiểm tra mã")</f>
        <v>35000</v>
      </c>
    </row>
    <row r="45" customFormat="false" ht="15" hidden="false" customHeight="false" outlineLevel="0" collapsed="false">
      <c r="A45" s="7" t="s">
        <v>165</v>
      </c>
      <c r="B45" s="7" t="s">
        <v>543</v>
      </c>
      <c r="C45" s="7" t="s">
        <v>536</v>
      </c>
      <c r="D45" s="9" t="n">
        <f aca="false">IFERROR(VLOOKUP(TRIM(CLEAN(SUBSTITUTE(A45,_xlfn.UNICHAR(160),""))),GiaCuoc!$A$2:$C$501,3,FALSE()),"Kiểm tra mã")</f>
        <v>25000</v>
      </c>
    </row>
    <row r="46" customFormat="false" ht="15" hidden="false" customHeight="false" outlineLevel="0" collapsed="false">
      <c r="A46" s="7" t="s">
        <v>213</v>
      </c>
      <c r="B46" s="7" t="s">
        <v>543</v>
      </c>
      <c r="C46" s="7" t="s">
        <v>529</v>
      </c>
      <c r="D46" s="9" t="n">
        <f aca="false">IFERROR(VLOOKUP(TRIM(CLEAN(SUBSTITUTE(A46,_xlfn.UNICHAR(160),""))),GiaCuoc!$A$2:$C$501,3,FALSE()),"Kiểm tra mã")</f>
        <v>35000</v>
      </c>
    </row>
    <row r="47" customFormat="false" ht="15" hidden="false" customHeight="false" outlineLevel="0" collapsed="false">
      <c r="A47" s="7" t="s">
        <v>519</v>
      </c>
      <c r="B47" s="7" t="s">
        <v>540</v>
      </c>
      <c r="C47" s="7" t="s">
        <v>529</v>
      </c>
      <c r="D47" s="9" t="n">
        <f aca="false">IFERROR(VLOOKUP(TRIM(CLEAN(SUBSTITUTE(A47,_xlfn.UNICHAR(160),""))),GiaCuoc!$A$2:$C$501,3,FALSE()),"Kiểm tra mã")</f>
        <v>55000</v>
      </c>
    </row>
    <row r="48" customFormat="false" ht="15" hidden="false" customHeight="false" outlineLevel="0" collapsed="false">
      <c r="A48" s="7" t="s">
        <v>381</v>
      </c>
      <c r="B48" s="7" t="s">
        <v>532</v>
      </c>
      <c r="C48" s="7" t="s">
        <v>529</v>
      </c>
      <c r="D48" s="9" t="n">
        <f aca="false">IFERROR(VLOOKUP(TRIM(CLEAN(SUBSTITUTE(A48,_xlfn.UNICHAR(160),""))),GiaCuoc!$A$2:$C$501,3,FALSE()),"Kiểm tra mã")</f>
        <v>80000</v>
      </c>
    </row>
    <row r="49" customFormat="false" ht="15" hidden="false" customHeight="false" outlineLevel="0" collapsed="false">
      <c r="A49" s="7" t="s">
        <v>417</v>
      </c>
      <c r="B49" s="7" t="s">
        <v>535</v>
      </c>
      <c r="C49" s="7" t="s">
        <v>529</v>
      </c>
      <c r="D49" s="9" t="n">
        <f aca="false">IFERROR(VLOOKUP(TRIM(CLEAN(SUBSTITUTE(A49,_xlfn.UNICHAR(160),""))),GiaCuoc!$A$2:$C$501,3,FALSE()),"Kiểm tra mã")</f>
        <v>25000</v>
      </c>
    </row>
    <row r="50" customFormat="false" ht="15" hidden="false" customHeight="false" outlineLevel="0" collapsed="false">
      <c r="A50" s="7" t="s">
        <v>331</v>
      </c>
      <c r="B50" s="7" t="s">
        <v>540</v>
      </c>
      <c r="C50" s="7" t="s">
        <v>529</v>
      </c>
      <c r="D50" s="9" t="n">
        <f aca="false">IFERROR(VLOOKUP(TRIM(CLEAN(SUBSTITUTE(A50,_xlfn.UNICHAR(160),""))),GiaCuoc!$A$2:$C$501,3,FALSE()),"Kiểm tra mã")</f>
        <v>55000</v>
      </c>
    </row>
    <row r="51" customFormat="false" ht="15" hidden="false" customHeight="false" outlineLevel="0" collapsed="false">
      <c r="A51" s="7" t="s">
        <v>372</v>
      </c>
      <c r="B51" s="7" t="s">
        <v>528</v>
      </c>
      <c r="C51" s="7" t="s">
        <v>529</v>
      </c>
      <c r="D51" s="9" t="n">
        <f aca="false">IFERROR(VLOOKUP(TRIM(CLEAN(SUBSTITUTE(A51,_xlfn.UNICHAR(160),""))),GiaCuoc!$A$2:$C$501,3,FALSE()),"Kiểm tra mã")</f>
        <v>55000</v>
      </c>
    </row>
    <row r="52" customFormat="false" ht="15" hidden="false" customHeight="false" outlineLevel="0" collapsed="false">
      <c r="A52" s="7" t="s">
        <v>211</v>
      </c>
      <c r="B52" s="7" t="s">
        <v>535</v>
      </c>
      <c r="C52" s="7" t="s">
        <v>530</v>
      </c>
      <c r="D52" s="9" t="n">
        <f aca="false">IFERROR(VLOOKUP(TRIM(CLEAN(SUBSTITUTE(A52,_xlfn.UNICHAR(160),""))),GiaCuoc!$A$2:$C$501,3,FALSE()),"Kiểm tra mã")</f>
        <v>35000</v>
      </c>
    </row>
    <row r="53" customFormat="false" ht="15" hidden="false" customHeight="false" outlineLevel="0" collapsed="false">
      <c r="A53" s="7" t="s">
        <v>35</v>
      </c>
      <c r="B53" s="7" t="s">
        <v>540</v>
      </c>
      <c r="C53" s="7" t="s">
        <v>529</v>
      </c>
      <c r="D53" s="9" t="n">
        <f aca="false">IFERROR(VLOOKUP(TRIM(CLEAN(SUBSTITUTE(A53,_xlfn.UNICHAR(160),""))),GiaCuoc!$A$2:$C$501,3,FALSE()),"Kiểm tra mã")</f>
        <v>25000</v>
      </c>
    </row>
    <row r="54" customFormat="false" ht="15" hidden="false" customHeight="false" outlineLevel="0" collapsed="false">
      <c r="A54" s="7" t="s">
        <v>397</v>
      </c>
      <c r="B54" s="7" t="s">
        <v>531</v>
      </c>
      <c r="C54" s="7" t="s">
        <v>529</v>
      </c>
      <c r="D54" s="9" t="n">
        <f aca="false">IFERROR(VLOOKUP(TRIM(CLEAN(SUBSTITUTE(A54,_xlfn.UNICHAR(160),""))),GiaCuoc!$A$2:$C$501,3,FALSE()),"Kiểm tra mã")</f>
        <v>35000</v>
      </c>
    </row>
    <row r="55" customFormat="false" ht="15" hidden="false" customHeight="false" outlineLevel="0" collapsed="false">
      <c r="A55" s="7" t="s">
        <v>70</v>
      </c>
      <c r="B55" s="7" t="s">
        <v>538</v>
      </c>
      <c r="C55" s="7" t="s">
        <v>530</v>
      </c>
      <c r="D55" s="9" t="n">
        <f aca="false">IFERROR(VLOOKUP(TRIM(CLEAN(SUBSTITUTE(A55,_xlfn.UNICHAR(160),""))),GiaCuoc!$A$2:$C$501,3,FALSE()),"Kiểm tra mã")</f>
        <v>55000</v>
      </c>
    </row>
    <row r="56" customFormat="false" ht="15" hidden="false" customHeight="false" outlineLevel="0" collapsed="false">
      <c r="A56" s="7" t="s">
        <v>314</v>
      </c>
      <c r="B56" s="7" t="s">
        <v>535</v>
      </c>
      <c r="C56" s="7" t="s">
        <v>536</v>
      </c>
      <c r="D56" s="9" t="n">
        <f aca="false">IFERROR(VLOOKUP(TRIM(CLEAN(SUBSTITUTE(A56,_xlfn.UNICHAR(160),""))),GiaCuoc!$A$2:$C$501,3,FALSE()),"Kiểm tra mã")</f>
        <v>55000</v>
      </c>
    </row>
    <row r="57" customFormat="false" ht="15" hidden="false" customHeight="false" outlineLevel="0" collapsed="false">
      <c r="A57" s="7" t="s">
        <v>319</v>
      </c>
      <c r="B57" s="7" t="s">
        <v>534</v>
      </c>
      <c r="C57" s="7" t="s">
        <v>529</v>
      </c>
      <c r="D57" s="9" t="n">
        <f aca="false">IFERROR(VLOOKUP(TRIM(CLEAN(SUBSTITUTE(A57,_xlfn.UNICHAR(160),""))),GiaCuoc!$A$2:$C$501,3,FALSE()),"Kiểm tra mã")</f>
        <v>25000</v>
      </c>
    </row>
    <row r="58" customFormat="false" ht="15" hidden="false" customHeight="false" outlineLevel="0" collapsed="false">
      <c r="A58" s="7" t="s">
        <v>365</v>
      </c>
      <c r="B58" s="7" t="s">
        <v>531</v>
      </c>
      <c r="C58" s="7" t="s">
        <v>530</v>
      </c>
      <c r="D58" s="9" t="n">
        <f aca="false">IFERROR(VLOOKUP(TRIM(CLEAN(SUBSTITUTE(A58,_xlfn.UNICHAR(160),""))),GiaCuoc!$A$2:$C$501,3,FALSE()),"Kiểm tra mã")</f>
        <v>55000</v>
      </c>
    </row>
    <row r="59" customFormat="false" ht="15" hidden="false" customHeight="false" outlineLevel="0" collapsed="false">
      <c r="A59" s="7" t="s">
        <v>513</v>
      </c>
      <c r="B59" s="7" t="s">
        <v>540</v>
      </c>
      <c r="C59" s="7" t="s">
        <v>530</v>
      </c>
      <c r="D59" s="9" t="n">
        <f aca="false">IFERROR(VLOOKUP(TRIM(CLEAN(SUBSTITUTE(A59,_xlfn.UNICHAR(160),""))),GiaCuoc!$A$2:$C$501,3,FALSE()),"Kiểm tra mã")</f>
        <v>25000</v>
      </c>
    </row>
    <row r="60" customFormat="false" ht="15" hidden="false" customHeight="false" outlineLevel="0" collapsed="false">
      <c r="A60" s="7" t="s">
        <v>99</v>
      </c>
      <c r="B60" s="7" t="s">
        <v>537</v>
      </c>
      <c r="C60" s="7" t="s">
        <v>530</v>
      </c>
      <c r="D60" s="9" t="n">
        <f aca="false">IFERROR(VLOOKUP(TRIM(CLEAN(SUBSTITUTE(A60,_xlfn.UNICHAR(160),""))),GiaCuoc!$A$2:$C$501,3,FALSE()),"Kiểm tra mã")</f>
        <v>80000</v>
      </c>
    </row>
    <row r="61" customFormat="false" ht="15" hidden="false" customHeight="false" outlineLevel="0" collapsed="false">
      <c r="A61" s="7" t="s">
        <v>422</v>
      </c>
      <c r="B61" s="7" t="s">
        <v>535</v>
      </c>
      <c r="C61" s="7" t="s">
        <v>530</v>
      </c>
      <c r="D61" s="9" t="n">
        <f aca="false">IFERROR(VLOOKUP(TRIM(CLEAN(SUBSTITUTE(A61,_xlfn.UNICHAR(160),""))),GiaCuoc!$A$2:$C$501,3,FALSE()),"Kiểm tra mã")</f>
        <v>80000</v>
      </c>
    </row>
    <row r="62" customFormat="false" ht="15" hidden="false" customHeight="false" outlineLevel="0" collapsed="false">
      <c r="A62" s="7" t="s">
        <v>544</v>
      </c>
      <c r="B62" s="7" t="s">
        <v>532</v>
      </c>
      <c r="C62" s="7" t="s">
        <v>536</v>
      </c>
      <c r="D62" s="9" t="n">
        <f aca="false">IFERROR(VLOOKUP(TRIM(CLEAN(SUBSTITUTE(A62,_xlfn.UNICHAR(160),""))),GiaCuoc!$A$2:$C$501,3,FALSE()),"Kiểm tra mã")</f>
        <v>25000</v>
      </c>
    </row>
    <row r="63" customFormat="false" ht="15" hidden="false" customHeight="false" outlineLevel="0" collapsed="false">
      <c r="A63" s="7" t="s">
        <v>215</v>
      </c>
      <c r="B63" s="7" t="s">
        <v>534</v>
      </c>
      <c r="C63" s="7" t="s">
        <v>536</v>
      </c>
      <c r="D63" s="9" t="n">
        <f aca="false">IFERROR(VLOOKUP(TRIM(CLEAN(SUBSTITUTE(A63,_xlfn.UNICHAR(160),""))),GiaCuoc!$A$2:$C$501,3,FALSE()),"Kiểm tra mã")</f>
        <v>80000</v>
      </c>
    </row>
    <row r="64" customFormat="false" ht="15" hidden="false" customHeight="false" outlineLevel="0" collapsed="false">
      <c r="A64" s="7" t="s">
        <v>436</v>
      </c>
      <c r="B64" s="7" t="s">
        <v>537</v>
      </c>
      <c r="C64" s="7" t="s">
        <v>530</v>
      </c>
      <c r="D64" s="9" t="n">
        <f aca="false">IFERROR(VLOOKUP(TRIM(CLEAN(SUBSTITUTE(A64,_xlfn.UNICHAR(160),""))),GiaCuoc!$A$2:$C$501,3,FALSE()),"Kiểm tra mã")</f>
        <v>35000</v>
      </c>
    </row>
    <row r="65" customFormat="false" ht="15" hidden="false" customHeight="false" outlineLevel="0" collapsed="false">
      <c r="A65" s="7" t="s">
        <v>242</v>
      </c>
      <c r="B65" s="7" t="s">
        <v>531</v>
      </c>
      <c r="C65" s="7" t="s">
        <v>529</v>
      </c>
      <c r="D65" s="9" t="n">
        <f aca="false">IFERROR(VLOOKUP(TRIM(CLEAN(SUBSTITUTE(A65,_xlfn.UNICHAR(160),""))),GiaCuoc!$A$2:$C$501,3,FALSE()),"Kiểm tra mã")</f>
        <v>35000</v>
      </c>
    </row>
    <row r="66" customFormat="false" ht="15" hidden="false" customHeight="false" outlineLevel="0" collapsed="false">
      <c r="A66" s="7" t="s">
        <v>151</v>
      </c>
      <c r="B66" s="7" t="s">
        <v>543</v>
      </c>
      <c r="C66" s="7" t="s">
        <v>530</v>
      </c>
      <c r="D66" s="9" t="n">
        <f aca="false">IFERROR(VLOOKUP(TRIM(CLEAN(SUBSTITUTE(A66,_xlfn.UNICHAR(160),""))),GiaCuoc!$A$2:$C$501,3,FALSE()),"Kiểm tra mã")</f>
        <v>80000</v>
      </c>
    </row>
    <row r="67" customFormat="false" ht="15" hidden="false" customHeight="false" outlineLevel="0" collapsed="false">
      <c r="A67" s="7" t="s">
        <v>441</v>
      </c>
      <c r="B67" s="7" t="s">
        <v>537</v>
      </c>
      <c r="C67" s="7" t="s">
        <v>530</v>
      </c>
      <c r="D67" s="9" t="n">
        <f aca="false">IFERROR(VLOOKUP(TRIM(CLEAN(SUBSTITUTE(A67,_xlfn.UNICHAR(160),""))),GiaCuoc!$A$2:$C$501,3,FALSE()),"Kiểm tra mã")</f>
        <v>35000</v>
      </c>
    </row>
    <row r="68" customFormat="false" ht="15" hidden="false" customHeight="false" outlineLevel="0" collapsed="false">
      <c r="A68" s="7" t="s">
        <v>220</v>
      </c>
      <c r="B68" s="7" t="s">
        <v>538</v>
      </c>
      <c r="C68" s="7" t="s">
        <v>530</v>
      </c>
      <c r="D68" s="9" t="n">
        <f aca="false">IFERROR(VLOOKUP(TRIM(CLEAN(SUBSTITUTE(A68,_xlfn.UNICHAR(160),""))),GiaCuoc!$A$2:$C$501,3,FALSE()),"Kiểm tra mã")</f>
        <v>80000</v>
      </c>
    </row>
    <row r="69" customFormat="false" ht="15" hidden="false" customHeight="false" outlineLevel="0" collapsed="false">
      <c r="A69" s="7" t="s">
        <v>313</v>
      </c>
      <c r="B69" s="7" t="s">
        <v>535</v>
      </c>
      <c r="C69" s="7" t="s">
        <v>529</v>
      </c>
      <c r="D69" s="9" t="n">
        <f aca="false">IFERROR(VLOOKUP(TRIM(CLEAN(SUBSTITUTE(A69,_xlfn.UNICHAR(160),""))),GiaCuoc!$A$2:$C$501,3,FALSE()),"Kiểm tra mã")</f>
        <v>35000</v>
      </c>
    </row>
    <row r="70" customFormat="false" ht="15" hidden="false" customHeight="false" outlineLevel="0" collapsed="false">
      <c r="A70" s="7" t="s">
        <v>177</v>
      </c>
      <c r="B70" s="7" t="s">
        <v>528</v>
      </c>
      <c r="C70" s="7" t="s">
        <v>529</v>
      </c>
      <c r="D70" s="9" t="n">
        <f aca="false">IFERROR(VLOOKUP(TRIM(CLEAN(SUBSTITUTE(A70,_xlfn.UNICHAR(160),""))),GiaCuoc!$A$2:$C$501,3,FALSE()),"Kiểm tra mã")</f>
        <v>35000</v>
      </c>
    </row>
    <row r="71" customFormat="false" ht="15" hidden="false" customHeight="false" outlineLevel="0" collapsed="false">
      <c r="A71" s="7" t="s">
        <v>362</v>
      </c>
      <c r="B71" s="7" t="s">
        <v>531</v>
      </c>
      <c r="C71" s="7" t="s">
        <v>530</v>
      </c>
      <c r="D71" s="9" t="n">
        <f aca="false">IFERROR(VLOOKUP(TRIM(CLEAN(SUBSTITUTE(A71,_xlfn.UNICHAR(160),""))),GiaCuoc!$A$2:$C$501,3,FALSE()),"Kiểm tra mã")</f>
        <v>35000</v>
      </c>
    </row>
    <row r="72" customFormat="false" ht="15" hidden="false" customHeight="false" outlineLevel="0" collapsed="false">
      <c r="A72" s="7" t="s">
        <v>55</v>
      </c>
      <c r="B72" s="7" t="s">
        <v>539</v>
      </c>
      <c r="C72" s="7" t="s">
        <v>529</v>
      </c>
      <c r="D72" s="9" t="n">
        <f aca="false">IFERROR(VLOOKUP(TRIM(CLEAN(SUBSTITUTE(A72,_xlfn.UNICHAR(160),""))),GiaCuoc!$A$2:$C$501,3,FALSE()),"Kiểm tra mã")</f>
        <v>25000</v>
      </c>
    </row>
    <row r="73" customFormat="false" ht="15" hidden="false" customHeight="false" outlineLevel="0" collapsed="false">
      <c r="A73" s="7" t="s">
        <v>261</v>
      </c>
      <c r="B73" s="7" t="s">
        <v>540</v>
      </c>
      <c r="C73" s="7" t="s">
        <v>536</v>
      </c>
      <c r="D73" s="9" t="n">
        <f aca="false">IFERROR(VLOOKUP(TRIM(CLEAN(SUBSTITUTE(A73,_xlfn.UNICHAR(160),""))),GiaCuoc!$A$2:$C$501,3,FALSE()),"Kiểm tra mã")</f>
        <v>35000</v>
      </c>
    </row>
    <row r="74" customFormat="false" ht="15" hidden="false" customHeight="false" outlineLevel="0" collapsed="false">
      <c r="A74" s="7" t="s">
        <v>357</v>
      </c>
      <c r="B74" s="7" t="s">
        <v>535</v>
      </c>
      <c r="C74" s="7" t="s">
        <v>530</v>
      </c>
      <c r="D74" s="9" t="n">
        <f aca="false">IFERROR(VLOOKUP(TRIM(CLEAN(SUBSTITUTE(A74,_xlfn.UNICHAR(160),""))),GiaCuoc!$A$2:$C$501,3,FALSE()),"Kiểm tra mã")</f>
        <v>80000</v>
      </c>
    </row>
    <row r="75" customFormat="false" ht="15" hidden="false" customHeight="false" outlineLevel="0" collapsed="false">
      <c r="A75" s="7" t="s">
        <v>332</v>
      </c>
      <c r="B75" s="7" t="s">
        <v>532</v>
      </c>
      <c r="C75" s="7" t="s">
        <v>536</v>
      </c>
      <c r="D75" s="9" t="n">
        <f aca="false">IFERROR(VLOOKUP(TRIM(CLEAN(SUBSTITUTE(A75,_xlfn.UNICHAR(160),""))),GiaCuoc!$A$2:$C$501,3,FALSE()),"Kiểm tra mã")</f>
        <v>35000</v>
      </c>
    </row>
    <row r="76" customFormat="false" ht="15" hidden="false" customHeight="false" outlineLevel="0" collapsed="false">
      <c r="A76" s="7" t="s">
        <v>354</v>
      </c>
      <c r="B76" s="7" t="s">
        <v>531</v>
      </c>
      <c r="C76" s="7" t="s">
        <v>536</v>
      </c>
      <c r="D76" s="9" t="n">
        <f aca="false">IFERROR(VLOOKUP(TRIM(CLEAN(SUBSTITUTE(A76,_xlfn.UNICHAR(160),""))),GiaCuoc!$A$2:$C$501,3,FALSE()),"Kiểm tra mã")</f>
        <v>80000</v>
      </c>
    </row>
    <row r="77" customFormat="false" ht="15" hidden="false" customHeight="false" outlineLevel="0" collapsed="false">
      <c r="A77" s="7" t="s">
        <v>61</v>
      </c>
      <c r="B77" s="7" t="s">
        <v>528</v>
      </c>
      <c r="C77" s="7" t="s">
        <v>536</v>
      </c>
      <c r="D77" s="9" t="n">
        <f aca="false">IFERROR(VLOOKUP(TRIM(CLEAN(SUBSTITUTE(A77,_xlfn.UNICHAR(160),""))),GiaCuoc!$A$2:$C$501,3,FALSE()),"Kiểm tra mã")</f>
        <v>25000</v>
      </c>
    </row>
    <row r="78" customFormat="false" ht="15" hidden="false" customHeight="false" outlineLevel="0" collapsed="false">
      <c r="A78" s="7" t="s">
        <v>66</v>
      </c>
      <c r="B78" s="7" t="s">
        <v>535</v>
      </c>
      <c r="C78" s="7" t="s">
        <v>536</v>
      </c>
      <c r="D78" s="9" t="n">
        <f aca="false">IFERROR(VLOOKUP(TRIM(CLEAN(SUBSTITUTE(A78,_xlfn.UNICHAR(160),""))),GiaCuoc!$A$2:$C$501,3,FALSE()),"Kiểm tra mã")</f>
        <v>80000</v>
      </c>
    </row>
    <row r="79" customFormat="false" ht="15" hidden="false" customHeight="false" outlineLevel="0" collapsed="false">
      <c r="A79" s="7" t="s">
        <v>416</v>
      </c>
      <c r="B79" s="7" t="s">
        <v>528</v>
      </c>
      <c r="C79" s="7" t="s">
        <v>529</v>
      </c>
      <c r="D79" s="9" t="n">
        <f aca="false">IFERROR(VLOOKUP(TRIM(CLEAN(SUBSTITUTE(A79,_xlfn.UNICHAR(160),""))),GiaCuoc!$A$2:$C$501,3,FALSE()),"Kiểm tra mã")</f>
        <v>25000</v>
      </c>
    </row>
    <row r="80" customFormat="false" ht="15" hidden="false" customHeight="false" outlineLevel="0" collapsed="false">
      <c r="A80" s="7" t="s">
        <v>119</v>
      </c>
      <c r="B80" s="7" t="s">
        <v>531</v>
      </c>
      <c r="C80" s="7" t="s">
        <v>536</v>
      </c>
      <c r="D80" s="9" t="n">
        <f aca="false">IFERROR(VLOOKUP(TRIM(CLEAN(SUBSTITUTE(A80,_xlfn.UNICHAR(160),""))),GiaCuoc!$A$2:$C$501,3,FALSE()),"Kiểm tra mã")</f>
        <v>80000</v>
      </c>
    </row>
    <row r="81" customFormat="false" ht="15" hidden="false" customHeight="false" outlineLevel="0" collapsed="false">
      <c r="A81" s="7" t="s">
        <v>326</v>
      </c>
      <c r="B81" s="7" t="s">
        <v>528</v>
      </c>
      <c r="C81" s="7" t="s">
        <v>530</v>
      </c>
      <c r="D81" s="9" t="n">
        <f aca="false">IFERROR(VLOOKUP(TRIM(CLEAN(SUBSTITUTE(A81,_xlfn.UNICHAR(160),""))),GiaCuoc!$A$2:$C$501,3,FALSE()),"Kiểm tra mã")</f>
        <v>25000</v>
      </c>
    </row>
    <row r="82" customFormat="false" ht="15" hidden="false" customHeight="false" outlineLevel="0" collapsed="false">
      <c r="A82" s="7" t="s">
        <v>379</v>
      </c>
      <c r="B82" s="7" t="s">
        <v>535</v>
      </c>
      <c r="C82" s="7" t="s">
        <v>536</v>
      </c>
      <c r="D82" s="9" t="n">
        <f aca="false">IFERROR(VLOOKUP(TRIM(CLEAN(SUBSTITUTE(A82,_xlfn.UNICHAR(160),""))),GiaCuoc!$A$2:$C$501,3,FALSE()),"Kiểm tra mã")</f>
        <v>25000</v>
      </c>
    </row>
    <row r="83" customFormat="false" ht="15" hidden="false" customHeight="false" outlineLevel="0" collapsed="false">
      <c r="A83" s="7" t="s">
        <v>60</v>
      </c>
      <c r="B83" s="7" t="s">
        <v>531</v>
      </c>
      <c r="C83" s="7" t="s">
        <v>529</v>
      </c>
      <c r="D83" s="9" t="n">
        <f aca="false">IFERROR(VLOOKUP(TRIM(CLEAN(SUBSTITUTE(A83,_xlfn.UNICHAR(160),""))),GiaCuoc!$A$2:$C$501,3,FALSE()),"Kiểm tra mã")</f>
        <v>55000</v>
      </c>
    </row>
    <row r="84" customFormat="false" ht="15" hidden="false" customHeight="false" outlineLevel="0" collapsed="false">
      <c r="A84" s="7" t="s">
        <v>291</v>
      </c>
      <c r="B84" s="7" t="s">
        <v>534</v>
      </c>
      <c r="C84" s="7" t="s">
        <v>530</v>
      </c>
      <c r="D84" s="9" t="n">
        <f aca="false">IFERROR(VLOOKUP(TRIM(CLEAN(SUBSTITUTE(A84,_xlfn.UNICHAR(160),""))),GiaCuoc!$A$2:$C$501,3,FALSE()),"Kiểm tra mã")</f>
        <v>35000</v>
      </c>
    </row>
    <row r="85" customFormat="false" ht="15" hidden="false" customHeight="false" outlineLevel="0" collapsed="false">
      <c r="A85" s="7" t="s">
        <v>318</v>
      </c>
      <c r="B85" s="7" t="s">
        <v>531</v>
      </c>
      <c r="C85" s="7" t="s">
        <v>530</v>
      </c>
      <c r="D85" s="9" t="n">
        <f aca="false">IFERROR(VLOOKUP(TRIM(CLEAN(SUBSTITUTE(A85,_xlfn.UNICHAR(160),""))),GiaCuoc!$A$2:$C$501,3,FALSE()),"Kiểm tra mã")</f>
        <v>80000</v>
      </c>
    </row>
    <row r="86" customFormat="false" ht="15" hidden="false" customHeight="false" outlineLevel="0" collapsed="false">
      <c r="A86" s="7" t="s">
        <v>253</v>
      </c>
      <c r="B86" s="7" t="s">
        <v>528</v>
      </c>
      <c r="C86" s="7" t="s">
        <v>530</v>
      </c>
      <c r="D86" s="9" t="n">
        <f aca="false">IFERROR(VLOOKUP(TRIM(CLEAN(SUBSTITUTE(A86,_xlfn.UNICHAR(160),""))),GiaCuoc!$A$2:$C$501,3,FALSE()),"Kiểm tra mã")</f>
        <v>35000</v>
      </c>
    </row>
    <row r="87" customFormat="false" ht="15" hidden="false" customHeight="false" outlineLevel="0" collapsed="false">
      <c r="A87" s="7" t="s">
        <v>154</v>
      </c>
      <c r="B87" s="7" t="s">
        <v>537</v>
      </c>
      <c r="C87" s="7" t="s">
        <v>536</v>
      </c>
      <c r="D87" s="9" t="n">
        <f aca="false">IFERROR(VLOOKUP(TRIM(CLEAN(SUBSTITUTE(A87,_xlfn.UNICHAR(160),""))),GiaCuoc!$A$2:$C$501,3,FALSE()),"Kiểm tra mã")</f>
        <v>80000</v>
      </c>
    </row>
    <row r="88" customFormat="false" ht="15" hidden="false" customHeight="false" outlineLevel="0" collapsed="false">
      <c r="A88" s="7" t="s">
        <v>387</v>
      </c>
      <c r="B88" s="7" t="s">
        <v>540</v>
      </c>
      <c r="C88" s="7" t="s">
        <v>536</v>
      </c>
      <c r="D88" s="9" t="n">
        <f aca="false">IFERROR(VLOOKUP(TRIM(CLEAN(SUBSTITUTE(A88,_xlfn.UNICHAR(160),""))),GiaCuoc!$A$2:$C$501,3,FALSE()),"Kiểm tra mã")</f>
        <v>25000</v>
      </c>
    </row>
    <row r="89" customFormat="false" ht="15" hidden="false" customHeight="false" outlineLevel="0" collapsed="false">
      <c r="A89" s="7" t="s">
        <v>299</v>
      </c>
      <c r="B89" s="7" t="s">
        <v>534</v>
      </c>
      <c r="C89" s="7" t="s">
        <v>530</v>
      </c>
      <c r="D89" s="9" t="n">
        <f aca="false">IFERROR(VLOOKUP(TRIM(CLEAN(SUBSTITUTE(A89,_xlfn.UNICHAR(160),""))),GiaCuoc!$A$2:$C$501,3,FALSE()),"Kiểm tra mã")</f>
        <v>35000</v>
      </c>
    </row>
    <row r="90" customFormat="false" ht="15" hidden="false" customHeight="false" outlineLevel="0" collapsed="false">
      <c r="A90" s="7" t="s">
        <v>545</v>
      </c>
      <c r="B90" s="7" t="s">
        <v>535</v>
      </c>
      <c r="C90" s="7" t="s">
        <v>536</v>
      </c>
      <c r="D90" s="9" t="n">
        <f aca="false">IFERROR(VLOOKUP(TRIM(CLEAN(SUBSTITUTE(A90,_xlfn.UNICHAR(160),""))),GiaCuoc!$A$2:$C$501,3,FALSE()),"Kiểm tra mã")</f>
        <v>80000</v>
      </c>
    </row>
    <row r="91" customFormat="false" ht="15" hidden="false" customHeight="false" outlineLevel="0" collapsed="false">
      <c r="A91" s="7" t="s">
        <v>301</v>
      </c>
      <c r="B91" s="7" t="s">
        <v>539</v>
      </c>
      <c r="C91" s="7" t="s">
        <v>536</v>
      </c>
      <c r="D91" s="9" t="n">
        <f aca="false">IFERROR(VLOOKUP(TRIM(CLEAN(SUBSTITUTE(A91,_xlfn.UNICHAR(160),""))),GiaCuoc!$A$2:$C$501,3,FALSE()),"Kiểm tra mã")</f>
        <v>55000</v>
      </c>
    </row>
    <row r="92" customFormat="false" ht="15" hidden="false" customHeight="false" outlineLevel="0" collapsed="false">
      <c r="A92" s="7" t="s">
        <v>203</v>
      </c>
      <c r="B92" s="7" t="s">
        <v>543</v>
      </c>
      <c r="C92" s="7" t="s">
        <v>536</v>
      </c>
      <c r="D92" s="9" t="n">
        <f aca="false">IFERROR(VLOOKUP(TRIM(CLEAN(SUBSTITUTE(A92,_xlfn.UNICHAR(160),""))),GiaCuoc!$A$2:$C$501,3,FALSE()),"Kiểm tra mã")</f>
        <v>55000</v>
      </c>
    </row>
    <row r="93" customFormat="false" ht="15" hidden="false" customHeight="false" outlineLevel="0" collapsed="false">
      <c r="A93" s="7" t="s">
        <v>30</v>
      </c>
      <c r="B93" s="7" t="s">
        <v>535</v>
      </c>
      <c r="C93" s="7" t="s">
        <v>529</v>
      </c>
      <c r="D93" s="9" t="n">
        <f aca="false">IFERROR(VLOOKUP(TRIM(CLEAN(SUBSTITUTE(A93,_xlfn.UNICHAR(160),""))),GiaCuoc!$A$2:$C$501,3,FALSE()),"Kiểm tra mã")</f>
        <v>25000</v>
      </c>
    </row>
    <row r="94" customFormat="false" ht="15" hidden="false" customHeight="false" outlineLevel="0" collapsed="false">
      <c r="A94" s="7" t="s">
        <v>146</v>
      </c>
      <c r="B94" s="7" t="s">
        <v>532</v>
      </c>
      <c r="C94" s="7" t="s">
        <v>530</v>
      </c>
      <c r="D94" s="9" t="n">
        <f aca="false">IFERROR(VLOOKUP(TRIM(CLEAN(SUBSTITUTE(A94,_xlfn.UNICHAR(160),""))),GiaCuoc!$A$2:$C$501,3,FALSE()),"Kiểm tra mã")</f>
        <v>80000</v>
      </c>
    </row>
    <row r="95" customFormat="false" ht="15" hidden="false" customHeight="false" outlineLevel="0" collapsed="false">
      <c r="A95" s="7" t="s">
        <v>235</v>
      </c>
      <c r="B95" s="7" t="s">
        <v>535</v>
      </c>
      <c r="C95" s="7" t="s">
        <v>529</v>
      </c>
      <c r="D95" s="9" t="n">
        <f aca="false">IFERROR(VLOOKUP(TRIM(CLEAN(SUBSTITUTE(A95,_xlfn.UNICHAR(160),""))),GiaCuoc!$A$2:$C$501,3,FALSE()),"Kiểm tra mã")</f>
        <v>80000</v>
      </c>
    </row>
    <row r="96" customFormat="false" ht="15" hidden="false" customHeight="false" outlineLevel="0" collapsed="false">
      <c r="A96" s="7" t="s">
        <v>435</v>
      </c>
      <c r="B96" s="7" t="s">
        <v>534</v>
      </c>
      <c r="C96" s="7" t="s">
        <v>529</v>
      </c>
      <c r="D96" s="9" t="n">
        <f aca="false">IFERROR(VLOOKUP(TRIM(CLEAN(SUBSTITUTE(A96,_xlfn.UNICHAR(160),""))),GiaCuoc!$A$2:$C$501,3,FALSE()),"Kiểm tra mã")</f>
        <v>25000</v>
      </c>
    </row>
    <row r="97" customFormat="false" ht="15" hidden="false" customHeight="false" outlineLevel="0" collapsed="false">
      <c r="A97" s="7" t="s">
        <v>449</v>
      </c>
      <c r="B97" s="7" t="s">
        <v>537</v>
      </c>
      <c r="C97" s="7" t="s">
        <v>529</v>
      </c>
      <c r="D97" s="9" t="n">
        <f aca="false">IFERROR(VLOOKUP(TRIM(CLEAN(SUBSTITUTE(A97,_xlfn.UNICHAR(160),""))),GiaCuoc!$A$2:$C$501,3,FALSE()),"Kiểm tra mã")</f>
        <v>80000</v>
      </c>
    </row>
    <row r="98" customFormat="false" ht="15" hidden="false" customHeight="false" outlineLevel="0" collapsed="false">
      <c r="A98" s="7" t="s">
        <v>320</v>
      </c>
      <c r="B98" s="7" t="s">
        <v>531</v>
      </c>
      <c r="C98" s="7" t="s">
        <v>530</v>
      </c>
      <c r="D98" s="9" t="n">
        <f aca="false">IFERROR(VLOOKUP(TRIM(CLEAN(SUBSTITUTE(A98,_xlfn.UNICHAR(160),""))),GiaCuoc!$A$2:$C$501,3,FALSE()),"Kiểm tra mã")</f>
        <v>80000</v>
      </c>
    </row>
    <row r="99" customFormat="false" ht="15" hidden="false" customHeight="false" outlineLevel="0" collapsed="false">
      <c r="A99" s="7" t="s">
        <v>208</v>
      </c>
      <c r="B99" s="7" t="s">
        <v>540</v>
      </c>
      <c r="C99" s="7" t="s">
        <v>536</v>
      </c>
      <c r="D99" s="9" t="n">
        <f aca="false">IFERROR(VLOOKUP(TRIM(CLEAN(SUBSTITUTE(A99,_xlfn.UNICHAR(160),""))),GiaCuoc!$A$2:$C$501,3,FALSE()),"Kiểm tra mã")</f>
        <v>55000</v>
      </c>
    </row>
    <row r="100" customFormat="false" ht="15" hidden="false" customHeight="false" outlineLevel="0" collapsed="false">
      <c r="A100" s="7" t="s">
        <v>487</v>
      </c>
      <c r="B100" s="7" t="s">
        <v>539</v>
      </c>
      <c r="C100" s="7" t="s">
        <v>529</v>
      </c>
      <c r="D100" s="9" t="n">
        <f aca="false">IFERROR(VLOOKUP(TRIM(CLEAN(SUBSTITUTE(A100,_xlfn.UNICHAR(160),""))),GiaCuoc!$A$2:$C$501,3,FALSE()),"Kiểm tra mã")</f>
        <v>80000</v>
      </c>
    </row>
    <row r="101" customFormat="false" ht="15" hidden="false" customHeight="false" outlineLevel="0" collapsed="false">
      <c r="A101" s="7" t="s">
        <v>28</v>
      </c>
      <c r="B101" s="7" t="s">
        <v>528</v>
      </c>
      <c r="C101" s="7" t="s">
        <v>529</v>
      </c>
      <c r="D101" s="9" t="n">
        <f aca="false">IFERROR(VLOOKUP(TRIM(CLEAN(SUBSTITUTE(A101,_xlfn.UNICHAR(160),""))),GiaCuoc!$A$2:$C$501,3,FALSE()),"Kiểm tra mã")</f>
        <v>25000</v>
      </c>
    </row>
    <row r="102" customFormat="false" ht="15" hidden="false" customHeight="false" outlineLevel="0" collapsed="false">
      <c r="A102" s="7" t="s">
        <v>135</v>
      </c>
      <c r="B102" s="7" t="s">
        <v>532</v>
      </c>
      <c r="C102" s="7" t="s">
        <v>529</v>
      </c>
      <c r="D102" s="9" t="n">
        <f aca="false">IFERROR(VLOOKUP(TRIM(CLEAN(SUBSTITUTE(A102,_xlfn.UNICHAR(160),""))),GiaCuoc!$A$2:$C$501,3,FALSE()),"Kiểm tra mã")</f>
        <v>35000</v>
      </c>
    </row>
    <row r="103" customFormat="false" ht="15" hidden="false" customHeight="false" outlineLevel="0" collapsed="false">
      <c r="A103" s="7" t="s">
        <v>469</v>
      </c>
      <c r="B103" s="7" t="s">
        <v>531</v>
      </c>
      <c r="C103" s="7" t="s">
        <v>529</v>
      </c>
      <c r="D103" s="9" t="n">
        <f aca="false">IFERROR(VLOOKUP(TRIM(CLEAN(SUBSTITUTE(A103,_xlfn.UNICHAR(160),""))),GiaCuoc!$A$2:$C$501,3,FALSE()),"Kiểm tra mã")</f>
        <v>80000</v>
      </c>
    </row>
    <row r="104" customFormat="false" ht="15" hidden="false" customHeight="false" outlineLevel="0" collapsed="false">
      <c r="A104" s="7" t="s">
        <v>336</v>
      </c>
      <c r="B104" s="7" t="s">
        <v>535</v>
      </c>
      <c r="C104" s="7" t="s">
        <v>530</v>
      </c>
      <c r="D104" s="9" t="n">
        <f aca="false">IFERROR(VLOOKUP(TRIM(CLEAN(SUBSTITUTE(A104,_xlfn.UNICHAR(160),""))),GiaCuoc!$A$2:$C$501,3,FALSE()),"Kiểm tra mã")</f>
        <v>35000</v>
      </c>
    </row>
    <row r="105" customFormat="false" ht="15" hidden="false" customHeight="false" outlineLevel="0" collapsed="false">
      <c r="A105" s="7" t="s">
        <v>451</v>
      </c>
      <c r="B105" s="7" t="s">
        <v>538</v>
      </c>
      <c r="C105" s="7" t="s">
        <v>530</v>
      </c>
      <c r="D105" s="9" t="n">
        <f aca="false">IFERROR(VLOOKUP(TRIM(CLEAN(SUBSTITUTE(A105,_xlfn.UNICHAR(160),""))),GiaCuoc!$A$2:$C$501,3,FALSE()),"Kiểm tra mã")</f>
        <v>35000</v>
      </c>
    </row>
    <row r="106" customFormat="false" ht="15" hidden="false" customHeight="false" outlineLevel="0" collapsed="false">
      <c r="A106" s="7" t="s">
        <v>462</v>
      </c>
      <c r="B106" s="7" t="s">
        <v>534</v>
      </c>
      <c r="C106" s="7" t="s">
        <v>529</v>
      </c>
      <c r="D106" s="9" t="n">
        <f aca="false">IFERROR(VLOOKUP(TRIM(CLEAN(SUBSTITUTE(A106,_xlfn.UNICHAR(160),""))),GiaCuoc!$A$2:$C$501,3,FALSE()),"Kiểm tra mã")</f>
        <v>35000</v>
      </c>
    </row>
    <row r="107" customFormat="false" ht="15" hidden="false" customHeight="false" outlineLevel="0" collapsed="false">
      <c r="A107" s="7" t="s">
        <v>193</v>
      </c>
      <c r="B107" s="7" t="s">
        <v>534</v>
      </c>
      <c r="C107" s="7" t="s">
        <v>530</v>
      </c>
      <c r="D107" s="9" t="n">
        <f aca="false">IFERROR(VLOOKUP(TRIM(CLEAN(SUBSTITUTE(A107,_xlfn.UNICHAR(160),""))),GiaCuoc!$A$2:$C$501,3,FALSE()),"Kiểm tra mã")</f>
        <v>55000</v>
      </c>
    </row>
    <row r="108" customFormat="false" ht="15" hidden="false" customHeight="false" outlineLevel="0" collapsed="false">
      <c r="A108" s="7" t="s">
        <v>95</v>
      </c>
      <c r="B108" s="7" t="s">
        <v>539</v>
      </c>
      <c r="C108" s="7" t="s">
        <v>536</v>
      </c>
      <c r="D108" s="9" t="n">
        <f aca="false">IFERROR(VLOOKUP(TRIM(CLEAN(SUBSTITUTE(A108,_xlfn.UNICHAR(160),""))),GiaCuoc!$A$2:$C$501,3,FALSE()),"Kiểm tra mã")</f>
        <v>80000</v>
      </c>
    </row>
    <row r="109" customFormat="false" ht="15" hidden="false" customHeight="false" outlineLevel="0" collapsed="false">
      <c r="A109" s="7" t="s">
        <v>407</v>
      </c>
      <c r="B109" s="7" t="s">
        <v>537</v>
      </c>
      <c r="C109" s="7" t="s">
        <v>536</v>
      </c>
      <c r="D109" s="9" t="n">
        <f aca="false">IFERROR(VLOOKUP(TRIM(CLEAN(SUBSTITUTE(A109,_xlfn.UNICHAR(160),""))),GiaCuoc!$A$2:$C$501,3,FALSE()),"Kiểm tra mã")</f>
        <v>55000</v>
      </c>
    </row>
    <row r="110" customFormat="false" ht="15" hidden="false" customHeight="false" outlineLevel="0" collapsed="false">
      <c r="A110" s="7" t="s">
        <v>373</v>
      </c>
      <c r="B110" s="7" t="s">
        <v>540</v>
      </c>
      <c r="C110" s="7" t="s">
        <v>530</v>
      </c>
      <c r="D110" s="9" t="n">
        <f aca="false">IFERROR(VLOOKUP(TRIM(CLEAN(SUBSTITUTE(A110,_xlfn.UNICHAR(160),""))),GiaCuoc!$A$2:$C$501,3,FALSE()),"Kiểm tra mã")</f>
        <v>80000</v>
      </c>
    </row>
    <row r="111" customFormat="false" ht="15" hidden="false" customHeight="false" outlineLevel="0" collapsed="false">
      <c r="A111" s="7" t="s">
        <v>345</v>
      </c>
      <c r="B111" s="7" t="s">
        <v>531</v>
      </c>
      <c r="C111" s="7" t="s">
        <v>530</v>
      </c>
      <c r="D111" s="9" t="n">
        <f aca="false">IFERROR(VLOOKUP(TRIM(CLEAN(SUBSTITUTE(A111,_xlfn.UNICHAR(160),""))),GiaCuoc!$A$2:$C$501,3,FALSE()),"Kiểm tra mã")</f>
        <v>55000</v>
      </c>
    </row>
    <row r="112" customFormat="false" ht="15" hidden="false" customHeight="false" outlineLevel="0" collapsed="false">
      <c r="A112" s="7" t="s">
        <v>116</v>
      </c>
      <c r="B112" s="7" t="s">
        <v>534</v>
      </c>
      <c r="C112" s="7" t="s">
        <v>536</v>
      </c>
      <c r="D112" s="9" t="n">
        <f aca="false">IFERROR(VLOOKUP(TRIM(CLEAN(SUBSTITUTE(A112,_xlfn.UNICHAR(160),""))),GiaCuoc!$A$2:$C$501,3,FALSE()),"Kiểm tra mã")</f>
        <v>35000</v>
      </c>
    </row>
    <row r="113" customFormat="false" ht="15" hidden="false" customHeight="false" outlineLevel="0" collapsed="false">
      <c r="A113" s="7" t="s">
        <v>184</v>
      </c>
      <c r="B113" s="7" t="s">
        <v>537</v>
      </c>
      <c r="C113" s="7" t="s">
        <v>530</v>
      </c>
      <c r="D113" s="9" t="n">
        <f aca="false">IFERROR(VLOOKUP(TRIM(CLEAN(SUBSTITUTE(A113,_xlfn.UNICHAR(160),""))),GiaCuoc!$A$2:$C$501,3,FALSE()),"Kiểm tra mã")</f>
        <v>80000</v>
      </c>
    </row>
    <row r="114" customFormat="false" ht="15" hidden="false" customHeight="false" outlineLevel="0" collapsed="false">
      <c r="A114" s="7" t="s">
        <v>304</v>
      </c>
      <c r="B114" s="7" t="s">
        <v>540</v>
      </c>
      <c r="C114" s="7" t="s">
        <v>536</v>
      </c>
      <c r="D114" s="9" t="n">
        <f aca="false">IFERROR(VLOOKUP(TRIM(CLEAN(SUBSTITUTE(A114,_xlfn.UNICHAR(160),""))),GiaCuoc!$A$2:$C$501,3,FALSE()),"Kiểm tra mã")</f>
        <v>80000</v>
      </c>
    </row>
    <row r="115" customFormat="false" ht="15" hidden="false" customHeight="false" outlineLevel="0" collapsed="false">
      <c r="A115" s="7" t="s">
        <v>288</v>
      </c>
      <c r="B115" s="7" t="s">
        <v>535</v>
      </c>
      <c r="C115" s="7" t="s">
        <v>536</v>
      </c>
      <c r="D115" s="9" t="n">
        <f aca="false">IFERROR(VLOOKUP(TRIM(CLEAN(SUBSTITUTE(A115,_xlfn.UNICHAR(160),""))),GiaCuoc!$A$2:$C$501,3,FALSE()),"Kiểm tra mã")</f>
        <v>25000</v>
      </c>
    </row>
    <row r="116" customFormat="false" ht="15" hidden="false" customHeight="false" outlineLevel="0" collapsed="false">
      <c r="A116" s="7" t="s">
        <v>481</v>
      </c>
      <c r="B116" s="7" t="s">
        <v>531</v>
      </c>
      <c r="C116" s="7" t="s">
        <v>530</v>
      </c>
      <c r="D116" s="9" t="n">
        <f aca="false">IFERROR(VLOOKUP(TRIM(CLEAN(SUBSTITUTE(A116,_xlfn.UNICHAR(160),""))),GiaCuoc!$A$2:$C$501,3,FALSE()),"Kiểm tra mã")</f>
        <v>25000</v>
      </c>
    </row>
    <row r="117" customFormat="false" ht="15" hidden="false" customHeight="false" outlineLevel="0" collapsed="false">
      <c r="A117" s="7" t="s">
        <v>252</v>
      </c>
      <c r="B117" s="7" t="s">
        <v>538</v>
      </c>
      <c r="C117" s="7" t="s">
        <v>536</v>
      </c>
      <c r="D117" s="9" t="n">
        <f aca="false">IFERROR(VLOOKUP(TRIM(CLEAN(SUBSTITUTE(A117,_xlfn.UNICHAR(160),""))),GiaCuoc!$A$2:$C$501,3,FALSE()),"Kiểm tra mã")</f>
        <v>35000</v>
      </c>
    </row>
    <row r="118" customFormat="false" ht="15" hidden="false" customHeight="false" outlineLevel="0" collapsed="false">
      <c r="A118" s="7" t="s">
        <v>412</v>
      </c>
      <c r="B118" s="7" t="s">
        <v>538</v>
      </c>
      <c r="C118" s="7" t="s">
        <v>530</v>
      </c>
      <c r="D118" s="9" t="n">
        <f aca="false">IFERROR(VLOOKUP(TRIM(CLEAN(SUBSTITUTE(A118,_xlfn.UNICHAR(160),""))),GiaCuoc!$A$2:$C$501,3,FALSE()),"Kiểm tra mã")</f>
        <v>55000</v>
      </c>
    </row>
    <row r="119" customFormat="false" ht="15" hidden="false" customHeight="false" outlineLevel="0" collapsed="false">
      <c r="A119" s="7" t="s">
        <v>248</v>
      </c>
      <c r="B119" s="7" t="s">
        <v>531</v>
      </c>
      <c r="C119" s="7" t="s">
        <v>529</v>
      </c>
      <c r="D119" s="9" t="n">
        <f aca="false">IFERROR(VLOOKUP(TRIM(CLEAN(SUBSTITUTE(A119,_xlfn.UNICHAR(160),""))),GiaCuoc!$A$2:$C$501,3,FALSE()),"Kiểm tra mã")</f>
        <v>80000</v>
      </c>
    </row>
    <row r="120" customFormat="false" ht="15" hidden="false" customHeight="false" outlineLevel="0" collapsed="false">
      <c r="A120" s="7" t="s">
        <v>342</v>
      </c>
      <c r="B120" s="7" t="s">
        <v>543</v>
      </c>
      <c r="C120" s="7" t="s">
        <v>530</v>
      </c>
      <c r="D120" s="9" t="n">
        <f aca="false">IFERROR(VLOOKUP(TRIM(CLEAN(SUBSTITUTE(A120,_xlfn.UNICHAR(160),""))),GiaCuoc!$A$2:$C$501,3,FALSE()),"Kiểm tra mã")</f>
        <v>35000</v>
      </c>
    </row>
    <row r="121" customFormat="false" ht="15" hidden="false" customHeight="false" outlineLevel="0" collapsed="false">
      <c r="A121" s="7" t="s">
        <v>71</v>
      </c>
      <c r="B121" s="7" t="s">
        <v>528</v>
      </c>
      <c r="C121" s="7" t="s">
        <v>530</v>
      </c>
      <c r="D121" s="9" t="n">
        <f aca="false">IFERROR(VLOOKUP(TRIM(CLEAN(SUBSTITUTE(A121,_xlfn.UNICHAR(160),""))),GiaCuoc!$A$2:$C$501,3,FALSE()),"Kiểm tra mã")</f>
        <v>55000</v>
      </c>
    </row>
    <row r="122" customFormat="false" ht="15" hidden="false" customHeight="false" outlineLevel="0" collapsed="false">
      <c r="A122" s="7" t="s">
        <v>546</v>
      </c>
      <c r="B122" s="7" t="s">
        <v>534</v>
      </c>
      <c r="C122" s="7" t="s">
        <v>536</v>
      </c>
      <c r="D122" s="9" t="n">
        <f aca="false">IFERROR(VLOOKUP(TRIM(CLEAN(SUBSTITUTE(A122,_xlfn.UNICHAR(160),""))),GiaCuoc!$A$2:$C$501,3,FALSE()),"Kiểm tra mã")</f>
        <v>35000</v>
      </c>
    </row>
    <row r="123" customFormat="false" ht="15" hidden="false" customHeight="false" outlineLevel="0" collapsed="false">
      <c r="A123" s="7" t="s">
        <v>405</v>
      </c>
      <c r="B123" s="7" t="s">
        <v>543</v>
      </c>
      <c r="C123" s="7" t="s">
        <v>530</v>
      </c>
      <c r="D123" s="9" t="n">
        <f aca="false">IFERROR(VLOOKUP(TRIM(CLEAN(SUBSTITUTE(A123,_xlfn.UNICHAR(160),""))),GiaCuoc!$A$2:$C$501,3,FALSE()),"Kiểm tra mã")</f>
        <v>35000</v>
      </c>
    </row>
    <row r="124" customFormat="false" ht="15" hidden="false" customHeight="false" outlineLevel="0" collapsed="false">
      <c r="A124" s="7" t="s">
        <v>395</v>
      </c>
      <c r="B124" s="7" t="s">
        <v>534</v>
      </c>
      <c r="C124" s="7" t="s">
        <v>536</v>
      </c>
      <c r="D124" s="9" t="n">
        <f aca="false">IFERROR(VLOOKUP(TRIM(CLEAN(SUBSTITUTE(A124,_xlfn.UNICHAR(160),""))),GiaCuoc!$A$2:$C$501,3,FALSE()),"Kiểm tra mã")</f>
        <v>80000</v>
      </c>
    </row>
    <row r="125" customFormat="false" ht="15" hidden="false" customHeight="false" outlineLevel="0" collapsed="false">
      <c r="A125" s="7" t="s">
        <v>368</v>
      </c>
      <c r="B125" s="7" t="s">
        <v>543</v>
      </c>
      <c r="C125" s="7" t="s">
        <v>529</v>
      </c>
      <c r="D125" s="9" t="n">
        <f aca="false">IFERROR(VLOOKUP(TRIM(CLEAN(SUBSTITUTE(A125,_xlfn.UNICHAR(160),""))),GiaCuoc!$A$2:$C$501,3,FALSE()),"Kiểm tra mã")</f>
        <v>35000</v>
      </c>
    </row>
    <row r="126" customFormat="false" ht="15" hidden="false" customHeight="false" outlineLevel="0" collapsed="false">
      <c r="A126" s="7" t="s">
        <v>348</v>
      </c>
      <c r="B126" s="7" t="s">
        <v>531</v>
      </c>
      <c r="C126" s="7" t="s">
        <v>529</v>
      </c>
      <c r="D126" s="9" t="n">
        <f aca="false">IFERROR(VLOOKUP(TRIM(CLEAN(SUBSTITUTE(A126,_xlfn.UNICHAR(160),""))),GiaCuoc!$A$2:$C$501,3,FALSE()),"Kiểm tra mã")</f>
        <v>55000</v>
      </c>
    </row>
    <row r="127" customFormat="false" ht="15" hidden="false" customHeight="false" outlineLevel="0" collapsed="false">
      <c r="A127" s="7" t="s">
        <v>420</v>
      </c>
      <c r="B127" s="7" t="s">
        <v>537</v>
      </c>
      <c r="C127" s="7" t="s">
        <v>529</v>
      </c>
      <c r="D127" s="9" t="n">
        <f aca="false">IFERROR(VLOOKUP(TRIM(CLEAN(SUBSTITUTE(A127,_xlfn.UNICHAR(160),""))),GiaCuoc!$A$2:$C$501,3,FALSE()),"Kiểm tra mã")</f>
        <v>80000</v>
      </c>
    </row>
    <row r="128" customFormat="false" ht="15" hidden="false" customHeight="false" outlineLevel="0" collapsed="false">
      <c r="A128" s="7" t="s">
        <v>457</v>
      </c>
      <c r="B128" s="7" t="s">
        <v>528</v>
      </c>
      <c r="C128" s="7" t="s">
        <v>536</v>
      </c>
      <c r="D128" s="9" t="n">
        <f aca="false">IFERROR(VLOOKUP(TRIM(CLEAN(SUBSTITUTE(A128,_xlfn.UNICHAR(160),""))),GiaCuoc!$A$2:$C$501,3,FALSE()),"Kiểm tra mã")</f>
        <v>55000</v>
      </c>
    </row>
    <row r="129" customFormat="false" ht="15" hidden="false" customHeight="false" outlineLevel="0" collapsed="false">
      <c r="A129" s="7" t="s">
        <v>394</v>
      </c>
      <c r="B129" s="7" t="s">
        <v>543</v>
      </c>
      <c r="C129" s="7" t="s">
        <v>536</v>
      </c>
      <c r="D129" s="9" t="n">
        <f aca="false">IFERROR(VLOOKUP(TRIM(CLEAN(SUBSTITUTE(A129,_xlfn.UNICHAR(160),""))),GiaCuoc!$A$2:$C$501,3,FALSE()),"Kiểm tra mã")</f>
        <v>55000</v>
      </c>
    </row>
    <row r="130" customFormat="false" ht="15" hidden="false" customHeight="false" outlineLevel="0" collapsed="false">
      <c r="A130" s="7" t="s">
        <v>339</v>
      </c>
      <c r="B130" s="7" t="s">
        <v>537</v>
      </c>
      <c r="C130" s="7" t="s">
        <v>530</v>
      </c>
      <c r="D130" s="9" t="n">
        <f aca="false">IFERROR(VLOOKUP(TRIM(CLEAN(SUBSTITUTE(A130,_xlfn.UNICHAR(160),""))),GiaCuoc!$A$2:$C$501,3,FALSE()),"Kiểm tra mã")</f>
        <v>80000</v>
      </c>
    </row>
    <row r="131" customFormat="false" ht="15" hidden="false" customHeight="false" outlineLevel="0" collapsed="false">
      <c r="A131" s="7" t="s">
        <v>157</v>
      </c>
      <c r="B131" s="7" t="s">
        <v>534</v>
      </c>
      <c r="C131" s="7" t="s">
        <v>529</v>
      </c>
      <c r="D131" s="9" t="n">
        <f aca="false">IFERROR(VLOOKUP(TRIM(CLEAN(SUBSTITUTE(A131,_xlfn.UNICHAR(160),""))),GiaCuoc!$A$2:$C$501,3,FALSE()),"Kiểm tra mã")</f>
        <v>80000</v>
      </c>
    </row>
    <row r="132" customFormat="false" ht="15" hidden="false" customHeight="false" outlineLevel="0" collapsed="false">
      <c r="A132" s="7" t="s">
        <v>251</v>
      </c>
      <c r="B132" s="7" t="s">
        <v>540</v>
      </c>
      <c r="C132" s="7" t="s">
        <v>530</v>
      </c>
      <c r="D132" s="9" t="n">
        <f aca="false">IFERROR(VLOOKUP(TRIM(CLEAN(SUBSTITUTE(A132,_xlfn.UNICHAR(160),""))),GiaCuoc!$A$2:$C$501,3,FALSE()),"Kiểm tra mã")</f>
        <v>25000</v>
      </c>
    </row>
    <row r="133" customFormat="false" ht="15" hidden="false" customHeight="false" outlineLevel="0" collapsed="false">
      <c r="A133" s="7" t="s">
        <v>521</v>
      </c>
      <c r="B133" s="7" t="s">
        <v>531</v>
      </c>
      <c r="C133" s="7" t="s">
        <v>529</v>
      </c>
      <c r="D133" s="9" t="n">
        <f aca="false">IFERROR(VLOOKUP(TRIM(CLEAN(SUBSTITUTE(A133,_xlfn.UNICHAR(160),""))),GiaCuoc!$A$2:$C$501,3,FALSE()),"Kiểm tra mã")</f>
        <v>35000</v>
      </c>
    </row>
    <row r="134" customFormat="false" ht="15" hidden="false" customHeight="false" outlineLevel="0" collapsed="false">
      <c r="A134" s="7" t="s">
        <v>346</v>
      </c>
      <c r="B134" s="7" t="s">
        <v>531</v>
      </c>
      <c r="C134" s="7" t="s">
        <v>536</v>
      </c>
      <c r="D134" s="9" t="n">
        <f aca="false">IFERROR(VLOOKUP(TRIM(CLEAN(SUBSTITUTE(A134,_xlfn.UNICHAR(160),""))),GiaCuoc!$A$2:$C$501,3,FALSE()),"Kiểm tra mã")</f>
        <v>80000</v>
      </c>
    </row>
    <row r="135" customFormat="false" ht="15" hidden="false" customHeight="false" outlineLevel="0" collapsed="false">
      <c r="A135" s="7" t="s">
        <v>232</v>
      </c>
      <c r="B135" s="7" t="s">
        <v>543</v>
      </c>
      <c r="C135" s="7" t="s">
        <v>536</v>
      </c>
      <c r="D135" s="9" t="n">
        <f aca="false">IFERROR(VLOOKUP(TRIM(CLEAN(SUBSTITUTE(A135,_xlfn.UNICHAR(160),""))),GiaCuoc!$A$2:$C$501,3,FALSE()),"Kiểm tra mã")</f>
        <v>35000</v>
      </c>
    </row>
    <row r="136" customFormat="false" ht="15" hidden="false" customHeight="false" outlineLevel="0" collapsed="false">
      <c r="A136" s="7" t="s">
        <v>454</v>
      </c>
      <c r="B136" s="7" t="s">
        <v>534</v>
      </c>
      <c r="C136" s="7" t="s">
        <v>529</v>
      </c>
      <c r="D136" s="9" t="n">
        <f aca="false">IFERROR(VLOOKUP(TRIM(CLEAN(SUBSTITUTE(A136,_xlfn.UNICHAR(160),""))),GiaCuoc!$A$2:$C$501,3,FALSE()),"Kiểm tra mã")</f>
        <v>25000</v>
      </c>
    </row>
    <row r="137" customFormat="false" ht="15" hidden="false" customHeight="false" outlineLevel="0" collapsed="false">
      <c r="A137" s="7" t="s">
        <v>139</v>
      </c>
      <c r="B137" s="7" t="s">
        <v>531</v>
      </c>
      <c r="C137" s="7" t="s">
        <v>529</v>
      </c>
      <c r="D137" s="9" t="n">
        <f aca="false">IFERROR(VLOOKUP(TRIM(CLEAN(SUBSTITUTE(A137,_xlfn.UNICHAR(160),""))),GiaCuoc!$A$2:$C$501,3,FALSE()),"Kiểm tra mã")</f>
        <v>25000</v>
      </c>
    </row>
    <row r="138" customFormat="false" ht="15" hidden="false" customHeight="false" outlineLevel="0" collapsed="false">
      <c r="A138" s="7" t="s">
        <v>171</v>
      </c>
      <c r="B138" s="7" t="s">
        <v>538</v>
      </c>
      <c r="C138" s="7" t="s">
        <v>536</v>
      </c>
      <c r="D138" s="9" t="n">
        <f aca="false">IFERROR(VLOOKUP(TRIM(CLEAN(SUBSTITUTE(A138,_xlfn.UNICHAR(160),""))),GiaCuoc!$A$2:$C$501,3,FALSE()),"Kiểm tra mã")</f>
        <v>25000</v>
      </c>
    </row>
    <row r="139" customFormat="false" ht="15" hidden="false" customHeight="false" outlineLevel="0" collapsed="false">
      <c r="A139" s="7" t="s">
        <v>121</v>
      </c>
      <c r="B139" s="7" t="s">
        <v>540</v>
      </c>
      <c r="C139" s="7" t="s">
        <v>536</v>
      </c>
      <c r="D139" s="9" t="n">
        <f aca="false">IFERROR(VLOOKUP(TRIM(CLEAN(SUBSTITUTE(A139,_xlfn.UNICHAR(160),""))),GiaCuoc!$A$2:$C$501,3,FALSE()),"Kiểm tra mã")</f>
        <v>25000</v>
      </c>
    </row>
    <row r="140" customFormat="false" ht="15" hidden="false" customHeight="false" outlineLevel="0" collapsed="false">
      <c r="A140" s="7" t="s">
        <v>122</v>
      </c>
      <c r="B140" s="7" t="s">
        <v>534</v>
      </c>
      <c r="C140" s="7" t="s">
        <v>529</v>
      </c>
      <c r="D140" s="9" t="n">
        <f aca="false">IFERROR(VLOOKUP(TRIM(CLEAN(SUBSTITUTE(A140,_xlfn.UNICHAR(160),""))),GiaCuoc!$A$2:$C$501,3,FALSE()),"Kiểm tra mã")</f>
        <v>35000</v>
      </c>
    </row>
    <row r="141" customFormat="false" ht="15" hidden="false" customHeight="false" outlineLevel="0" collapsed="false">
      <c r="A141" s="7" t="s">
        <v>205</v>
      </c>
      <c r="B141" s="7" t="s">
        <v>537</v>
      </c>
      <c r="C141" s="7" t="s">
        <v>536</v>
      </c>
      <c r="D141" s="9" t="n">
        <f aca="false">IFERROR(VLOOKUP(TRIM(CLEAN(SUBSTITUTE(A141,_xlfn.UNICHAR(160),""))),GiaCuoc!$A$2:$C$501,3,FALSE()),"Kiểm tra mã")</f>
        <v>35000</v>
      </c>
    </row>
    <row r="142" customFormat="false" ht="15" hidden="false" customHeight="false" outlineLevel="0" collapsed="false">
      <c r="A142" s="7" t="s">
        <v>269</v>
      </c>
      <c r="B142" s="7" t="s">
        <v>532</v>
      </c>
      <c r="C142" s="7" t="s">
        <v>536</v>
      </c>
      <c r="D142" s="9" t="n">
        <f aca="false">IFERROR(VLOOKUP(TRIM(CLEAN(SUBSTITUTE(A142,_xlfn.UNICHAR(160),""))),GiaCuoc!$A$2:$C$501,3,FALSE()),"Kiểm tra mã")</f>
        <v>35000</v>
      </c>
    </row>
    <row r="143" customFormat="false" ht="15" hidden="false" customHeight="false" outlineLevel="0" collapsed="false">
      <c r="A143" s="7" t="s">
        <v>434</v>
      </c>
      <c r="B143" s="7" t="s">
        <v>538</v>
      </c>
      <c r="C143" s="7" t="s">
        <v>529</v>
      </c>
      <c r="D143" s="9" t="n">
        <f aca="false">IFERROR(VLOOKUP(TRIM(CLEAN(SUBSTITUTE(A143,_xlfn.UNICHAR(160),""))),GiaCuoc!$A$2:$C$501,3,FALSE()),"Kiểm tra mã")</f>
        <v>55000</v>
      </c>
    </row>
    <row r="144" customFormat="false" ht="15" hidden="false" customHeight="false" outlineLevel="0" collapsed="false">
      <c r="A144" s="7" t="s">
        <v>393</v>
      </c>
      <c r="B144" s="7" t="s">
        <v>537</v>
      </c>
      <c r="C144" s="7" t="s">
        <v>536</v>
      </c>
      <c r="D144" s="9" t="n">
        <f aca="false">IFERROR(VLOOKUP(TRIM(CLEAN(SUBSTITUTE(A144,_xlfn.UNICHAR(160),""))),GiaCuoc!$A$2:$C$501,3,FALSE()),"Kiểm tra mã")</f>
        <v>25000</v>
      </c>
    </row>
    <row r="145" customFormat="false" ht="15" hidden="false" customHeight="false" outlineLevel="0" collapsed="false">
      <c r="A145" s="7" t="s">
        <v>183</v>
      </c>
      <c r="B145" s="7" t="s">
        <v>535</v>
      </c>
      <c r="C145" s="7" t="s">
        <v>536</v>
      </c>
      <c r="D145" s="9" t="n">
        <f aca="false">IFERROR(VLOOKUP(TRIM(CLEAN(SUBSTITUTE(A145,_xlfn.UNICHAR(160),""))),GiaCuoc!$A$2:$C$501,3,FALSE()),"Kiểm tra mã")</f>
        <v>25000</v>
      </c>
    </row>
    <row r="146" customFormat="false" ht="15" hidden="false" customHeight="false" outlineLevel="0" collapsed="false">
      <c r="A146" s="7" t="s">
        <v>74</v>
      </c>
      <c r="B146" s="7" t="s">
        <v>534</v>
      </c>
      <c r="C146" s="7" t="s">
        <v>529</v>
      </c>
      <c r="D146" s="9" t="n">
        <f aca="false">IFERROR(VLOOKUP(TRIM(CLEAN(SUBSTITUTE(A146,_xlfn.UNICHAR(160),""))),GiaCuoc!$A$2:$C$501,3,FALSE()),"Kiểm tra mã")</f>
        <v>35000</v>
      </c>
    </row>
    <row r="147" customFormat="false" ht="15" hidden="false" customHeight="false" outlineLevel="0" collapsed="false">
      <c r="A147" s="7" t="s">
        <v>110</v>
      </c>
      <c r="B147" s="7" t="s">
        <v>535</v>
      </c>
      <c r="C147" s="7" t="s">
        <v>529</v>
      </c>
      <c r="D147" s="9" t="n">
        <f aca="false">IFERROR(VLOOKUP(TRIM(CLEAN(SUBSTITUTE(A147,_xlfn.UNICHAR(160),""))),GiaCuoc!$A$2:$C$501,3,FALSE()),"Kiểm tra mã")</f>
        <v>35000</v>
      </c>
    </row>
    <row r="148" customFormat="false" ht="15" hidden="false" customHeight="false" outlineLevel="0" collapsed="false">
      <c r="A148" s="7" t="s">
        <v>68</v>
      </c>
      <c r="B148" s="7" t="s">
        <v>532</v>
      </c>
      <c r="C148" s="7" t="s">
        <v>530</v>
      </c>
      <c r="D148" s="9" t="n">
        <f aca="false">IFERROR(VLOOKUP(TRIM(CLEAN(SUBSTITUTE(A148,_xlfn.UNICHAR(160),""))),GiaCuoc!$A$2:$C$501,3,FALSE()),"Kiểm tra mã")</f>
        <v>80000</v>
      </c>
    </row>
    <row r="149" customFormat="false" ht="15" hidden="false" customHeight="false" outlineLevel="0" collapsed="false">
      <c r="A149" s="7" t="s">
        <v>425</v>
      </c>
      <c r="B149" s="7" t="s">
        <v>534</v>
      </c>
      <c r="C149" s="7" t="s">
        <v>529</v>
      </c>
      <c r="D149" s="9" t="n">
        <f aca="false">IFERROR(VLOOKUP(TRIM(CLEAN(SUBSTITUTE(A149,_xlfn.UNICHAR(160),""))),GiaCuoc!$A$2:$C$501,3,FALSE()),"Kiểm tra mã")</f>
        <v>80000</v>
      </c>
    </row>
    <row r="150" customFormat="false" ht="15" hidden="false" customHeight="false" outlineLevel="0" collapsed="false">
      <c r="A150" s="7" t="s">
        <v>300</v>
      </c>
      <c r="B150" s="7" t="s">
        <v>538</v>
      </c>
      <c r="C150" s="7" t="s">
        <v>529</v>
      </c>
      <c r="D150" s="9" t="n">
        <f aca="false">IFERROR(VLOOKUP(TRIM(CLEAN(SUBSTITUTE(A150,_xlfn.UNICHAR(160),""))),GiaCuoc!$A$2:$C$501,3,FALSE()),"Kiểm tra mã")</f>
        <v>35000</v>
      </c>
    </row>
    <row r="151" customFormat="false" ht="15" hidden="false" customHeight="false" outlineLevel="0" collapsed="false">
      <c r="A151" s="7" t="s">
        <v>250</v>
      </c>
      <c r="B151" s="7" t="s">
        <v>528</v>
      </c>
      <c r="C151" s="7" t="s">
        <v>530</v>
      </c>
      <c r="D151" s="9" t="n">
        <f aca="false">IFERROR(VLOOKUP(TRIM(CLEAN(SUBSTITUTE(A151,_xlfn.UNICHAR(160),""))),GiaCuoc!$A$2:$C$501,3,FALSE()),"Kiểm tra mã")</f>
        <v>80000</v>
      </c>
    </row>
    <row r="152" customFormat="false" ht="15" hidden="false" customHeight="false" outlineLevel="0" collapsed="false">
      <c r="A152" s="7" t="s">
        <v>141</v>
      </c>
      <c r="B152" s="7" t="s">
        <v>532</v>
      </c>
      <c r="C152" s="7" t="s">
        <v>536</v>
      </c>
      <c r="D152" s="9" t="n">
        <f aca="false">IFERROR(VLOOKUP(TRIM(CLEAN(SUBSTITUTE(A152,_xlfn.UNICHAR(160),""))),GiaCuoc!$A$2:$C$501,3,FALSE()),"Kiểm tra mã")</f>
        <v>35000</v>
      </c>
    </row>
    <row r="153" customFormat="false" ht="15" hidden="false" customHeight="false" outlineLevel="0" collapsed="false">
      <c r="A153" s="7" t="s">
        <v>396</v>
      </c>
      <c r="B153" s="7" t="s">
        <v>540</v>
      </c>
      <c r="C153" s="7" t="s">
        <v>529</v>
      </c>
      <c r="D153" s="9" t="n">
        <f aca="false">IFERROR(VLOOKUP(TRIM(CLEAN(SUBSTITUTE(A153,_xlfn.UNICHAR(160),""))),GiaCuoc!$A$2:$C$501,3,FALSE()),"Kiểm tra mã")</f>
        <v>55000</v>
      </c>
    </row>
    <row r="154" customFormat="false" ht="15" hidden="false" customHeight="false" outlineLevel="0" collapsed="false">
      <c r="A154" s="7" t="s">
        <v>194</v>
      </c>
      <c r="B154" s="7" t="s">
        <v>537</v>
      </c>
      <c r="C154" s="7" t="s">
        <v>529</v>
      </c>
      <c r="D154" s="9" t="n">
        <f aca="false">IFERROR(VLOOKUP(TRIM(CLEAN(SUBSTITUTE(A154,_xlfn.UNICHAR(160),""))),GiaCuoc!$A$2:$C$501,3,FALSE()),"Kiểm tra mã")</f>
        <v>80000</v>
      </c>
    </row>
    <row r="155" customFormat="false" ht="15" hidden="false" customHeight="false" outlineLevel="0" collapsed="false">
      <c r="A155" s="7" t="s">
        <v>41</v>
      </c>
      <c r="B155" s="7" t="s">
        <v>543</v>
      </c>
      <c r="C155" s="7" t="s">
        <v>536</v>
      </c>
      <c r="D155" s="9" t="n">
        <f aca="false">IFERROR(VLOOKUP(TRIM(CLEAN(SUBSTITUTE(A155,_xlfn.UNICHAR(160),""))),GiaCuoc!$A$2:$C$501,3,FALSE()),"Kiểm tra mã")</f>
        <v>25000</v>
      </c>
    </row>
    <row r="156" customFormat="false" ht="15" hidden="false" customHeight="false" outlineLevel="0" collapsed="false">
      <c r="A156" s="7" t="s">
        <v>275</v>
      </c>
      <c r="B156" s="7" t="s">
        <v>532</v>
      </c>
      <c r="C156" s="7" t="s">
        <v>536</v>
      </c>
      <c r="D156" s="9" t="n">
        <f aca="false">IFERROR(VLOOKUP(TRIM(CLEAN(SUBSTITUTE(A156,_xlfn.UNICHAR(160),""))),GiaCuoc!$A$2:$C$501,3,FALSE()),"Kiểm tra mã")</f>
        <v>55000</v>
      </c>
    </row>
    <row r="157" customFormat="false" ht="15" hidden="false" customHeight="false" outlineLevel="0" collapsed="false">
      <c r="A157" s="7" t="s">
        <v>231</v>
      </c>
      <c r="B157" s="7" t="s">
        <v>534</v>
      </c>
      <c r="C157" s="7" t="s">
        <v>536</v>
      </c>
      <c r="D157" s="9" t="n">
        <f aca="false">IFERROR(VLOOKUP(TRIM(CLEAN(SUBSTITUTE(A157,_xlfn.UNICHAR(160),""))),GiaCuoc!$A$2:$C$501,3,FALSE()),"Kiểm tra mã")</f>
        <v>80000</v>
      </c>
    </row>
    <row r="158" customFormat="false" ht="15" hidden="false" customHeight="false" outlineLevel="0" collapsed="false">
      <c r="A158" s="7" t="s">
        <v>62</v>
      </c>
      <c r="B158" s="7" t="s">
        <v>540</v>
      </c>
      <c r="C158" s="7" t="s">
        <v>536</v>
      </c>
      <c r="D158" s="9" t="n">
        <f aca="false">IFERROR(VLOOKUP(TRIM(CLEAN(SUBSTITUTE(A158,_xlfn.UNICHAR(160),""))),GiaCuoc!$A$2:$C$501,3,FALSE()),"Kiểm tra mã")</f>
        <v>25000</v>
      </c>
    </row>
    <row r="159" customFormat="false" ht="15" hidden="false" customHeight="false" outlineLevel="0" collapsed="false">
      <c r="A159" s="7" t="s">
        <v>335</v>
      </c>
      <c r="B159" s="7" t="s">
        <v>540</v>
      </c>
      <c r="C159" s="7" t="s">
        <v>530</v>
      </c>
      <c r="D159" s="9" t="n">
        <f aca="false">IFERROR(VLOOKUP(TRIM(CLEAN(SUBSTITUTE(A159,_xlfn.UNICHAR(160),""))),GiaCuoc!$A$2:$C$501,3,FALSE()),"Kiểm tra mã")</f>
        <v>80000</v>
      </c>
    </row>
    <row r="160" customFormat="false" ht="15" hidden="false" customHeight="false" outlineLevel="0" collapsed="false">
      <c r="A160" s="7" t="s">
        <v>421</v>
      </c>
      <c r="B160" s="7" t="s">
        <v>531</v>
      </c>
      <c r="C160" s="7" t="s">
        <v>529</v>
      </c>
      <c r="D160" s="9" t="n">
        <f aca="false">IFERROR(VLOOKUP(TRIM(CLEAN(SUBSTITUTE(A160,_xlfn.UNICHAR(160),""))),GiaCuoc!$A$2:$C$501,3,FALSE()),"Kiểm tra mã")</f>
        <v>35000</v>
      </c>
    </row>
    <row r="161" customFormat="false" ht="15" hidden="false" customHeight="false" outlineLevel="0" collapsed="false">
      <c r="A161" s="7" t="s">
        <v>80</v>
      </c>
      <c r="B161" s="7" t="s">
        <v>532</v>
      </c>
      <c r="C161" s="7" t="s">
        <v>536</v>
      </c>
      <c r="D161" s="9" t="n">
        <f aca="false">IFERROR(VLOOKUP(TRIM(CLEAN(SUBSTITUTE(A161,_xlfn.UNICHAR(160),""))),GiaCuoc!$A$2:$C$501,3,FALSE()),"Kiểm tra mã")</f>
        <v>55000</v>
      </c>
    </row>
    <row r="162" customFormat="false" ht="15" hidden="false" customHeight="false" outlineLevel="0" collapsed="false">
      <c r="A162" s="7" t="s">
        <v>39</v>
      </c>
      <c r="B162" s="7" t="s">
        <v>535</v>
      </c>
      <c r="C162" s="7" t="s">
        <v>529</v>
      </c>
      <c r="D162" s="9" t="n">
        <f aca="false">IFERROR(VLOOKUP(TRIM(CLEAN(SUBSTITUTE(A162,_xlfn.UNICHAR(160),""))),GiaCuoc!$A$2:$C$501,3,FALSE()),"Kiểm tra mã")</f>
        <v>25000</v>
      </c>
    </row>
    <row r="163" customFormat="false" ht="15" hidden="false" customHeight="false" outlineLevel="0" collapsed="false">
      <c r="A163" s="7" t="s">
        <v>423</v>
      </c>
      <c r="B163" s="7" t="s">
        <v>537</v>
      </c>
      <c r="C163" s="7" t="s">
        <v>529</v>
      </c>
      <c r="D163" s="9" t="n">
        <f aca="false">IFERROR(VLOOKUP(TRIM(CLEAN(SUBSTITUTE(A163,_xlfn.UNICHAR(160),""))),GiaCuoc!$A$2:$C$501,3,FALSE()),"Kiểm tra mã")</f>
        <v>25000</v>
      </c>
    </row>
    <row r="164" customFormat="false" ht="15" hidden="false" customHeight="false" outlineLevel="0" collapsed="false">
      <c r="A164" s="7" t="s">
        <v>297</v>
      </c>
      <c r="B164" s="7" t="s">
        <v>540</v>
      </c>
      <c r="C164" s="7" t="s">
        <v>530</v>
      </c>
      <c r="D164" s="9" t="n">
        <f aca="false">IFERROR(VLOOKUP(TRIM(CLEAN(SUBSTITUTE(A164,_xlfn.UNICHAR(160),""))),GiaCuoc!$A$2:$C$501,3,FALSE()),"Kiểm tra mã")</f>
        <v>25000</v>
      </c>
    </row>
    <row r="165" customFormat="false" ht="15" hidden="false" customHeight="false" outlineLevel="0" collapsed="false">
      <c r="A165" s="7" t="s">
        <v>369</v>
      </c>
      <c r="B165" s="7" t="s">
        <v>539</v>
      </c>
      <c r="C165" s="7" t="s">
        <v>530</v>
      </c>
      <c r="D165" s="9" t="n">
        <f aca="false">IFERROR(VLOOKUP(TRIM(CLEAN(SUBSTITUTE(A165,_xlfn.UNICHAR(160),""))),GiaCuoc!$A$2:$C$501,3,FALSE()),"Kiểm tra mã")</f>
        <v>55000</v>
      </c>
    </row>
    <row r="166" customFormat="false" ht="15" hidden="false" customHeight="false" outlineLevel="0" collapsed="false">
      <c r="A166" s="7" t="s">
        <v>384</v>
      </c>
      <c r="B166" s="7" t="s">
        <v>532</v>
      </c>
      <c r="C166" s="7" t="s">
        <v>536</v>
      </c>
      <c r="D166" s="9" t="n">
        <f aca="false">IFERROR(VLOOKUP(TRIM(CLEAN(SUBSTITUTE(A166,_xlfn.UNICHAR(160),""))),GiaCuoc!$A$2:$C$501,3,FALSE()),"Kiểm tra mã")</f>
        <v>25000</v>
      </c>
    </row>
    <row r="167" customFormat="false" ht="15" hidden="false" customHeight="false" outlineLevel="0" collapsed="false">
      <c r="A167" s="7" t="s">
        <v>353</v>
      </c>
      <c r="B167" s="7" t="s">
        <v>540</v>
      </c>
      <c r="C167" s="7" t="s">
        <v>530</v>
      </c>
      <c r="D167" s="9" t="n">
        <f aca="false">IFERROR(VLOOKUP(TRIM(CLEAN(SUBSTITUTE(A167,_xlfn.UNICHAR(160),""))),GiaCuoc!$A$2:$C$501,3,FALSE()),"Kiểm tra mã")</f>
        <v>55000</v>
      </c>
    </row>
    <row r="168" customFormat="false" ht="15" hidden="false" customHeight="false" outlineLevel="0" collapsed="false">
      <c r="A168" s="7" t="s">
        <v>518</v>
      </c>
      <c r="B168" s="7" t="s">
        <v>540</v>
      </c>
      <c r="C168" s="7" t="s">
        <v>530</v>
      </c>
      <c r="D168" s="9" t="n">
        <f aca="false">IFERROR(VLOOKUP(TRIM(CLEAN(SUBSTITUTE(A168,_xlfn.UNICHAR(160),""))),GiaCuoc!$A$2:$C$501,3,FALSE()),"Kiểm tra mã")</f>
        <v>25000</v>
      </c>
    </row>
    <row r="169" customFormat="false" ht="15" hidden="false" customHeight="false" outlineLevel="0" collapsed="false">
      <c r="A169" s="7" t="s">
        <v>259</v>
      </c>
      <c r="B169" s="7" t="s">
        <v>532</v>
      </c>
      <c r="C169" s="7" t="s">
        <v>529</v>
      </c>
      <c r="D169" s="9" t="n">
        <f aca="false">IFERROR(VLOOKUP(TRIM(CLEAN(SUBSTITUTE(A169,_xlfn.UNICHAR(160),""))),GiaCuoc!$A$2:$C$501,3,FALSE()),"Kiểm tra mã")</f>
        <v>80000</v>
      </c>
    </row>
    <row r="170" customFormat="false" ht="15" hidden="false" customHeight="false" outlineLevel="0" collapsed="false">
      <c r="A170" s="7" t="s">
        <v>312</v>
      </c>
      <c r="B170" s="7" t="s">
        <v>543</v>
      </c>
      <c r="C170" s="7" t="s">
        <v>530</v>
      </c>
      <c r="D170" s="9" t="n">
        <f aca="false">IFERROR(VLOOKUP(TRIM(CLEAN(SUBSTITUTE(A170,_xlfn.UNICHAR(160),""))),GiaCuoc!$A$2:$C$501,3,FALSE()),"Kiểm tra mã")</f>
        <v>80000</v>
      </c>
    </row>
    <row r="171" customFormat="false" ht="15" hidden="false" customHeight="false" outlineLevel="0" collapsed="false">
      <c r="A171" s="7" t="s">
        <v>182</v>
      </c>
      <c r="B171" s="7" t="s">
        <v>537</v>
      </c>
      <c r="C171" s="7" t="s">
        <v>529</v>
      </c>
      <c r="D171" s="9" t="n">
        <f aca="false">IFERROR(VLOOKUP(TRIM(CLEAN(SUBSTITUTE(A171,_xlfn.UNICHAR(160),""))),GiaCuoc!$A$2:$C$501,3,FALSE()),"Kiểm tra mã")</f>
        <v>25000</v>
      </c>
    </row>
    <row r="172" customFormat="false" ht="15" hidden="false" customHeight="false" outlineLevel="0" collapsed="false">
      <c r="A172" s="7" t="s">
        <v>207</v>
      </c>
      <c r="B172" s="7" t="s">
        <v>537</v>
      </c>
      <c r="C172" s="7" t="s">
        <v>530</v>
      </c>
      <c r="D172" s="9" t="n">
        <f aca="false">IFERROR(VLOOKUP(TRIM(CLEAN(SUBSTITUTE(A172,_xlfn.UNICHAR(160),""))),GiaCuoc!$A$2:$C$501,3,FALSE()),"Kiểm tra mã")</f>
        <v>35000</v>
      </c>
    </row>
    <row r="173" customFormat="false" ht="15" hidden="false" customHeight="false" outlineLevel="0" collapsed="false">
      <c r="A173" s="7" t="s">
        <v>305</v>
      </c>
      <c r="B173" s="7" t="s">
        <v>535</v>
      </c>
      <c r="C173" s="7" t="s">
        <v>536</v>
      </c>
      <c r="D173" s="9" t="n">
        <f aca="false">IFERROR(VLOOKUP(TRIM(CLEAN(SUBSTITUTE(A173,_xlfn.UNICHAR(160),""))),GiaCuoc!$A$2:$C$501,3,FALSE()),"Kiểm tra mã")</f>
        <v>25000</v>
      </c>
    </row>
    <row r="174" customFormat="false" ht="15" hidden="false" customHeight="false" outlineLevel="0" collapsed="false">
      <c r="A174" s="7" t="s">
        <v>53</v>
      </c>
      <c r="B174" s="7" t="s">
        <v>543</v>
      </c>
      <c r="C174" s="7" t="s">
        <v>536</v>
      </c>
      <c r="D174" s="9" t="n">
        <f aca="false">IFERROR(VLOOKUP(TRIM(CLEAN(SUBSTITUTE(A174,_xlfn.UNICHAR(160),""))),GiaCuoc!$A$2:$C$501,3,FALSE()),"Kiểm tra mã")</f>
        <v>80000</v>
      </c>
    </row>
    <row r="175" customFormat="false" ht="15" hidden="false" customHeight="false" outlineLevel="0" collapsed="false">
      <c r="A175" s="7" t="s">
        <v>512</v>
      </c>
      <c r="B175" s="7" t="s">
        <v>531</v>
      </c>
      <c r="C175" s="7" t="s">
        <v>530</v>
      </c>
      <c r="D175" s="9" t="n">
        <f aca="false">IFERROR(VLOOKUP(TRIM(CLEAN(SUBSTITUTE(A175,_xlfn.UNICHAR(160),""))),GiaCuoc!$A$2:$C$501,3,FALSE()),"Kiểm tra mã")</f>
        <v>80000</v>
      </c>
    </row>
    <row r="176" customFormat="false" ht="15" hidden="false" customHeight="false" outlineLevel="0" collapsed="false">
      <c r="A176" s="7" t="s">
        <v>458</v>
      </c>
      <c r="B176" s="7" t="s">
        <v>534</v>
      </c>
      <c r="C176" s="7" t="s">
        <v>536</v>
      </c>
      <c r="D176" s="9" t="n">
        <f aca="false">IFERROR(VLOOKUP(TRIM(CLEAN(SUBSTITUTE(A176,_xlfn.UNICHAR(160),""))),GiaCuoc!$A$2:$C$501,3,FALSE()),"Kiểm tra mã")</f>
        <v>55000</v>
      </c>
    </row>
    <row r="177" customFormat="false" ht="15" hidden="false" customHeight="false" outlineLevel="0" collapsed="false">
      <c r="A177" s="7" t="s">
        <v>82</v>
      </c>
      <c r="B177" s="7" t="s">
        <v>539</v>
      </c>
      <c r="C177" s="7" t="s">
        <v>530</v>
      </c>
      <c r="D177" s="9" t="n">
        <f aca="false">IFERROR(VLOOKUP(TRIM(CLEAN(SUBSTITUTE(A177,_xlfn.UNICHAR(160),""))),GiaCuoc!$A$2:$C$501,3,FALSE()),"Kiểm tra mã")</f>
        <v>25000</v>
      </c>
    </row>
    <row r="178" customFormat="false" ht="15" hidden="false" customHeight="false" outlineLevel="0" collapsed="false">
      <c r="A178" s="7" t="s">
        <v>352</v>
      </c>
      <c r="B178" s="7" t="s">
        <v>531</v>
      </c>
      <c r="C178" s="7" t="s">
        <v>530</v>
      </c>
      <c r="D178" s="9" t="n">
        <f aca="false">IFERROR(VLOOKUP(TRIM(CLEAN(SUBSTITUTE(A178,_xlfn.UNICHAR(160),""))),GiaCuoc!$A$2:$C$501,3,FALSE()),"Kiểm tra mã")</f>
        <v>25000</v>
      </c>
    </row>
    <row r="179" customFormat="false" ht="15" hidden="false" customHeight="false" outlineLevel="0" collapsed="false">
      <c r="A179" s="7" t="s">
        <v>85</v>
      </c>
      <c r="B179" s="7" t="s">
        <v>528</v>
      </c>
      <c r="C179" s="7" t="s">
        <v>536</v>
      </c>
      <c r="D179" s="9" t="n">
        <f aca="false">IFERROR(VLOOKUP(TRIM(CLEAN(SUBSTITUTE(A179,_xlfn.UNICHAR(160),""))),GiaCuoc!$A$2:$C$501,3,FALSE()),"Kiểm tra mã")</f>
        <v>55000</v>
      </c>
    </row>
    <row r="180" customFormat="false" ht="15" hidden="false" customHeight="false" outlineLevel="0" collapsed="false">
      <c r="A180" s="7" t="s">
        <v>234</v>
      </c>
      <c r="B180" s="7" t="s">
        <v>531</v>
      </c>
      <c r="C180" s="7" t="s">
        <v>529</v>
      </c>
      <c r="D180" s="9" t="n">
        <f aca="false">IFERROR(VLOOKUP(TRIM(CLEAN(SUBSTITUTE(A180,_xlfn.UNICHAR(160),""))),GiaCuoc!$A$2:$C$501,3,FALSE()),"Kiểm tra mã")</f>
        <v>35000</v>
      </c>
    </row>
    <row r="181" customFormat="false" ht="15" hidden="false" customHeight="false" outlineLevel="0" collapsed="false">
      <c r="A181" s="7" t="s">
        <v>489</v>
      </c>
      <c r="B181" s="7" t="s">
        <v>538</v>
      </c>
      <c r="C181" s="7" t="s">
        <v>530</v>
      </c>
      <c r="D181" s="9" t="n">
        <f aca="false">IFERROR(VLOOKUP(TRIM(CLEAN(SUBSTITUTE(A181,_xlfn.UNICHAR(160),""))),GiaCuoc!$A$2:$C$501,3,FALSE()),"Kiểm tra mã")</f>
        <v>80000</v>
      </c>
    </row>
    <row r="182" customFormat="false" ht="15" hidden="false" customHeight="false" outlineLevel="0" collapsed="false">
      <c r="A182" s="7" t="s">
        <v>77</v>
      </c>
      <c r="B182" s="7" t="s">
        <v>531</v>
      </c>
      <c r="C182" s="7" t="s">
        <v>536</v>
      </c>
      <c r="D182" s="9" t="n">
        <f aca="false">IFERROR(VLOOKUP(TRIM(CLEAN(SUBSTITUTE(A182,_xlfn.UNICHAR(160),""))),GiaCuoc!$A$2:$C$501,3,FALSE()),"Kiểm tra mã")</f>
        <v>80000</v>
      </c>
    </row>
    <row r="183" customFormat="false" ht="15" hidden="false" customHeight="false" outlineLevel="0" collapsed="false">
      <c r="A183" s="7" t="s">
        <v>389</v>
      </c>
      <c r="B183" s="7" t="s">
        <v>543</v>
      </c>
      <c r="C183" s="7" t="s">
        <v>529</v>
      </c>
      <c r="D183" s="9" t="n">
        <f aca="false">IFERROR(VLOOKUP(TRIM(CLEAN(SUBSTITUTE(A183,_xlfn.UNICHAR(160),""))),GiaCuoc!$A$2:$C$501,3,FALSE()),"Kiểm tra mã")</f>
        <v>25000</v>
      </c>
    </row>
    <row r="184" customFormat="false" ht="15" hidden="false" customHeight="false" outlineLevel="0" collapsed="false">
      <c r="A184" s="7" t="s">
        <v>508</v>
      </c>
      <c r="B184" s="7" t="s">
        <v>543</v>
      </c>
      <c r="C184" s="7" t="s">
        <v>530</v>
      </c>
      <c r="D184" s="9" t="n">
        <f aca="false">IFERROR(VLOOKUP(TRIM(CLEAN(SUBSTITUTE(A184,_xlfn.UNICHAR(160),""))),GiaCuoc!$A$2:$C$501,3,FALSE()),"Kiểm tra mã")</f>
        <v>35000</v>
      </c>
    </row>
    <row r="185" customFormat="false" ht="15" hidden="false" customHeight="false" outlineLevel="0" collapsed="false">
      <c r="A185" s="7" t="s">
        <v>43</v>
      </c>
      <c r="B185" s="7" t="s">
        <v>540</v>
      </c>
      <c r="C185" s="7" t="s">
        <v>536</v>
      </c>
      <c r="D185" s="9" t="n">
        <f aca="false">IFERROR(VLOOKUP(TRIM(CLEAN(SUBSTITUTE(A185,_xlfn.UNICHAR(160),""))),GiaCuoc!$A$2:$C$501,3,FALSE()),"Kiểm tra mã")</f>
        <v>25000</v>
      </c>
    </row>
    <row r="186" customFormat="false" ht="15" hidden="false" customHeight="false" outlineLevel="0" collapsed="false">
      <c r="A186" s="7" t="s">
        <v>484</v>
      </c>
      <c r="B186" s="7" t="s">
        <v>537</v>
      </c>
      <c r="C186" s="7" t="s">
        <v>529</v>
      </c>
      <c r="D186" s="9" t="n">
        <f aca="false">IFERROR(VLOOKUP(TRIM(CLEAN(SUBSTITUTE(A186,_xlfn.UNICHAR(160),""))),GiaCuoc!$A$2:$C$501,3,FALSE()),"Kiểm tra mã")</f>
        <v>35000</v>
      </c>
    </row>
    <row r="187" customFormat="false" ht="15" hidden="false" customHeight="false" outlineLevel="0" collapsed="false">
      <c r="A187" s="7" t="s">
        <v>100</v>
      </c>
      <c r="B187" s="7" t="s">
        <v>532</v>
      </c>
      <c r="C187" s="7" t="s">
        <v>536</v>
      </c>
      <c r="D187" s="9" t="n">
        <f aca="false">IFERROR(VLOOKUP(TRIM(CLEAN(SUBSTITUTE(A187,_xlfn.UNICHAR(160),""))),GiaCuoc!$A$2:$C$501,3,FALSE()),"Kiểm tra mã")</f>
        <v>25000</v>
      </c>
    </row>
    <row r="188" customFormat="false" ht="15" hidden="false" customHeight="false" outlineLevel="0" collapsed="false">
      <c r="A188" s="7" t="s">
        <v>443</v>
      </c>
      <c r="B188" s="7" t="s">
        <v>532</v>
      </c>
      <c r="C188" s="7" t="s">
        <v>529</v>
      </c>
      <c r="D188" s="9" t="n">
        <f aca="false">IFERROR(VLOOKUP(TRIM(CLEAN(SUBSTITUTE(A188,_xlfn.UNICHAR(160),""))),GiaCuoc!$A$2:$C$501,3,FALSE()),"Kiểm tra mã")</f>
        <v>25000</v>
      </c>
    </row>
    <row r="189" customFormat="false" ht="15" hidden="false" customHeight="false" outlineLevel="0" collapsed="false">
      <c r="A189" s="7" t="s">
        <v>496</v>
      </c>
      <c r="B189" s="7" t="s">
        <v>532</v>
      </c>
      <c r="C189" s="7" t="s">
        <v>536</v>
      </c>
      <c r="D189" s="9" t="n">
        <f aca="false">IFERROR(VLOOKUP(TRIM(CLEAN(SUBSTITUTE(A189,_xlfn.UNICHAR(160),""))),GiaCuoc!$A$2:$C$501,3,FALSE()),"Kiểm tra mã")</f>
        <v>25000</v>
      </c>
    </row>
    <row r="190" customFormat="false" ht="15" hidden="false" customHeight="false" outlineLevel="0" collapsed="false">
      <c r="A190" s="7" t="s">
        <v>515</v>
      </c>
      <c r="B190" s="7" t="s">
        <v>539</v>
      </c>
      <c r="C190" s="7" t="s">
        <v>530</v>
      </c>
      <c r="D190" s="9" t="n">
        <f aca="false">IFERROR(VLOOKUP(TRIM(CLEAN(SUBSTITUTE(A190,_xlfn.UNICHAR(160),""))),GiaCuoc!$A$2:$C$501,3,FALSE()),"Kiểm tra mã")</f>
        <v>25000</v>
      </c>
    </row>
    <row r="191" customFormat="false" ht="15" hidden="false" customHeight="false" outlineLevel="0" collapsed="false">
      <c r="A191" s="7" t="s">
        <v>200</v>
      </c>
      <c r="B191" s="7" t="s">
        <v>531</v>
      </c>
      <c r="C191" s="7" t="s">
        <v>530</v>
      </c>
      <c r="D191" s="9" t="n">
        <f aca="false">IFERROR(VLOOKUP(TRIM(CLEAN(SUBSTITUTE(A191,_xlfn.UNICHAR(160),""))),GiaCuoc!$A$2:$C$501,3,FALSE()),"Kiểm tra mã")</f>
        <v>25000</v>
      </c>
    </row>
    <row r="192" customFormat="false" ht="15" hidden="false" customHeight="false" outlineLevel="0" collapsed="false">
      <c r="A192" s="7" t="s">
        <v>118</v>
      </c>
      <c r="B192" s="7" t="s">
        <v>540</v>
      </c>
      <c r="C192" s="7" t="s">
        <v>530</v>
      </c>
      <c r="D192" s="9" t="n">
        <f aca="false">IFERROR(VLOOKUP(TRIM(CLEAN(SUBSTITUTE(A192,_xlfn.UNICHAR(160),""))),GiaCuoc!$A$2:$C$501,3,FALSE()),"Kiểm tra mã")</f>
        <v>80000</v>
      </c>
    </row>
    <row r="193" customFormat="false" ht="15" hidden="false" customHeight="false" outlineLevel="0" collapsed="false">
      <c r="A193" s="7" t="s">
        <v>308</v>
      </c>
      <c r="B193" s="7" t="s">
        <v>537</v>
      </c>
      <c r="C193" s="7" t="s">
        <v>530</v>
      </c>
      <c r="D193" s="9" t="n">
        <f aca="false">IFERROR(VLOOKUP(TRIM(CLEAN(SUBSTITUTE(A193,_xlfn.UNICHAR(160),""))),GiaCuoc!$A$2:$C$501,3,FALSE()),"Kiểm tra mã")</f>
        <v>55000</v>
      </c>
    </row>
    <row r="194" customFormat="false" ht="15" hidden="false" customHeight="false" outlineLevel="0" collapsed="false">
      <c r="A194" s="7" t="s">
        <v>279</v>
      </c>
      <c r="B194" s="7" t="s">
        <v>535</v>
      </c>
      <c r="C194" s="7" t="s">
        <v>530</v>
      </c>
      <c r="D194" s="9" t="n">
        <f aca="false">IFERROR(VLOOKUP(TRIM(CLEAN(SUBSTITUTE(A194,_xlfn.UNICHAR(160),""))),GiaCuoc!$A$2:$C$501,3,FALSE()),"Kiểm tra mã")</f>
        <v>25000</v>
      </c>
    </row>
    <row r="195" customFormat="false" ht="15" hidden="false" customHeight="false" outlineLevel="0" collapsed="false">
      <c r="A195" s="7" t="s">
        <v>112</v>
      </c>
      <c r="B195" s="7" t="s">
        <v>528</v>
      </c>
      <c r="C195" s="7" t="s">
        <v>530</v>
      </c>
      <c r="D195" s="9" t="n">
        <f aca="false">IFERROR(VLOOKUP(TRIM(CLEAN(SUBSTITUTE(A195,_xlfn.UNICHAR(160),""))),GiaCuoc!$A$2:$C$501,3,FALSE()),"Kiểm tra mã")</f>
        <v>80000</v>
      </c>
    </row>
    <row r="196" customFormat="false" ht="15" hidden="false" customHeight="false" outlineLevel="0" collapsed="false">
      <c r="A196" s="7" t="s">
        <v>270</v>
      </c>
      <c r="B196" s="7" t="s">
        <v>540</v>
      </c>
      <c r="C196" s="7" t="s">
        <v>530</v>
      </c>
      <c r="D196" s="9" t="n">
        <f aca="false">IFERROR(VLOOKUP(TRIM(CLEAN(SUBSTITUTE(A196,_xlfn.UNICHAR(160),""))),GiaCuoc!$A$2:$C$501,3,FALSE()),"Kiểm tra mã")</f>
        <v>25000</v>
      </c>
    </row>
    <row r="197" customFormat="false" ht="15" hidden="false" customHeight="false" outlineLevel="0" collapsed="false">
      <c r="A197" s="7" t="s">
        <v>477</v>
      </c>
      <c r="B197" s="7" t="s">
        <v>540</v>
      </c>
      <c r="C197" s="7" t="s">
        <v>536</v>
      </c>
      <c r="D197" s="9" t="n">
        <f aca="false">IFERROR(VLOOKUP(TRIM(CLEAN(SUBSTITUTE(A197,_xlfn.UNICHAR(160),""))),GiaCuoc!$A$2:$C$501,3,FALSE()),"Kiểm tra mã")</f>
        <v>35000</v>
      </c>
    </row>
    <row r="198" customFormat="false" ht="15" hidden="false" customHeight="false" outlineLevel="0" collapsed="false">
      <c r="A198" s="7" t="s">
        <v>152</v>
      </c>
      <c r="B198" s="7" t="s">
        <v>537</v>
      </c>
      <c r="C198" s="7" t="s">
        <v>536</v>
      </c>
      <c r="D198" s="9" t="n">
        <f aca="false">IFERROR(VLOOKUP(TRIM(CLEAN(SUBSTITUTE(A198,_xlfn.UNICHAR(160),""))),GiaCuoc!$A$2:$C$501,3,FALSE()),"Kiểm tra mã")</f>
        <v>80000</v>
      </c>
    </row>
    <row r="199" customFormat="false" ht="15" hidden="false" customHeight="false" outlineLevel="0" collapsed="false">
      <c r="A199" s="7" t="s">
        <v>509</v>
      </c>
      <c r="B199" s="7" t="s">
        <v>528</v>
      </c>
      <c r="C199" s="7" t="s">
        <v>530</v>
      </c>
      <c r="D199" s="9" t="n">
        <f aca="false">IFERROR(VLOOKUP(TRIM(CLEAN(SUBSTITUTE(A199,_xlfn.UNICHAR(160),""))),GiaCuoc!$A$2:$C$501,3,FALSE()),"Kiểm tra mã")</f>
        <v>80000</v>
      </c>
    </row>
    <row r="200" customFormat="false" ht="15" hidden="false" customHeight="false" outlineLevel="0" collapsed="false">
      <c r="A200" s="7" t="s">
        <v>120</v>
      </c>
      <c r="B200" s="7" t="s">
        <v>535</v>
      </c>
      <c r="C200" s="7" t="s">
        <v>530</v>
      </c>
      <c r="D200" s="9" t="n">
        <f aca="false">IFERROR(VLOOKUP(TRIM(CLEAN(SUBSTITUTE(A200,_xlfn.UNICHAR(160),""))),GiaCuoc!$A$2:$C$501,3,FALSE()),"Kiểm tra mã")</f>
        <v>80000</v>
      </c>
    </row>
    <row r="201" customFormat="false" ht="15" hidden="false" customHeight="false" outlineLevel="0" collapsed="false">
      <c r="A201" s="7" t="s">
        <v>134</v>
      </c>
      <c r="B201" s="7" t="s">
        <v>537</v>
      </c>
      <c r="C201" s="7" t="s">
        <v>536</v>
      </c>
      <c r="D201" s="9" t="n">
        <f aca="false">IFERROR(VLOOKUP(TRIM(CLEAN(SUBSTITUTE(A201,_xlfn.UNICHAR(160),""))),GiaCuoc!$A$2:$C$501,3,FALSE()),"Kiểm tra mã")</f>
        <v>25000</v>
      </c>
    </row>
    <row r="202" customFormat="false" ht="15" hidden="false" customHeight="false" outlineLevel="0" collapsed="false">
      <c r="A202" s="7" t="s">
        <v>347</v>
      </c>
      <c r="B202" s="7" t="s">
        <v>537</v>
      </c>
      <c r="C202" s="7" t="s">
        <v>536</v>
      </c>
      <c r="D202" s="9" t="n">
        <f aca="false">IFERROR(VLOOKUP(TRIM(CLEAN(SUBSTITUTE(A202,_xlfn.UNICHAR(160),""))),GiaCuoc!$A$2:$C$501,3,FALSE()),"Kiểm tra mã")</f>
        <v>35000</v>
      </c>
    </row>
    <row r="203" customFormat="false" ht="15" hidden="false" customHeight="false" outlineLevel="0" collapsed="false">
      <c r="A203" s="7" t="s">
        <v>84</v>
      </c>
      <c r="B203" s="7" t="s">
        <v>535</v>
      </c>
      <c r="C203" s="7" t="s">
        <v>536</v>
      </c>
      <c r="D203" s="9" t="n">
        <f aca="false">IFERROR(VLOOKUP(TRIM(CLEAN(SUBSTITUTE(A203,_xlfn.UNICHAR(160),""))),GiaCuoc!$A$2:$C$501,3,FALSE()),"Kiểm tra mã")</f>
        <v>35000</v>
      </c>
    </row>
    <row r="204" customFormat="false" ht="15" hidden="false" customHeight="false" outlineLevel="0" collapsed="false">
      <c r="A204" s="7" t="s">
        <v>303</v>
      </c>
      <c r="B204" s="7" t="s">
        <v>531</v>
      </c>
      <c r="C204" s="7" t="s">
        <v>536</v>
      </c>
      <c r="D204" s="9" t="n">
        <f aca="false">IFERROR(VLOOKUP(TRIM(CLEAN(SUBSTITUTE(A204,_xlfn.UNICHAR(160),""))),GiaCuoc!$A$2:$C$501,3,FALSE()),"Kiểm tra mã")</f>
        <v>25000</v>
      </c>
    </row>
    <row r="205" customFormat="false" ht="15" hidden="false" customHeight="false" outlineLevel="0" collapsed="false">
      <c r="A205" s="7" t="s">
        <v>472</v>
      </c>
      <c r="B205" s="7" t="s">
        <v>543</v>
      </c>
      <c r="C205" s="7" t="s">
        <v>530</v>
      </c>
      <c r="D205" s="9" t="n">
        <f aca="false">IFERROR(VLOOKUP(TRIM(CLEAN(SUBSTITUTE(A205,_xlfn.UNICHAR(160),""))),GiaCuoc!$A$2:$C$501,3,FALSE()),"Kiểm tra mã")</f>
        <v>35000</v>
      </c>
    </row>
    <row r="206" customFormat="false" ht="15" hidden="false" customHeight="false" outlineLevel="0" collapsed="false">
      <c r="A206" s="7" t="s">
        <v>324</v>
      </c>
      <c r="B206" s="7" t="s">
        <v>543</v>
      </c>
      <c r="C206" s="7" t="s">
        <v>536</v>
      </c>
      <c r="D206" s="9" t="n">
        <f aca="false">IFERROR(VLOOKUP(TRIM(CLEAN(SUBSTITUTE(A206,_xlfn.UNICHAR(160),""))),GiaCuoc!$A$2:$C$501,3,FALSE()),"Kiểm tra mã")</f>
        <v>35000</v>
      </c>
    </row>
    <row r="207" customFormat="false" ht="15" hidden="false" customHeight="false" outlineLevel="0" collapsed="false">
      <c r="A207" s="7" t="s">
        <v>437</v>
      </c>
      <c r="B207" s="7" t="s">
        <v>540</v>
      </c>
      <c r="C207" s="7" t="s">
        <v>536</v>
      </c>
      <c r="D207" s="9" t="n">
        <f aca="false">IFERROR(VLOOKUP(TRIM(CLEAN(SUBSTITUTE(A207,_xlfn.UNICHAR(160),""))),GiaCuoc!$A$2:$C$501,3,FALSE()),"Kiểm tra mã")</f>
        <v>25000</v>
      </c>
    </row>
    <row r="208" customFormat="false" ht="15" hidden="false" customHeight="false" outlineLevel="0" collapsed="false">
      <c r="A208" s="7" t="s">
        <v>198</v>
      </c>
      <c r="B208" s="7" t="s">
        <v>539</v>
      </c>
      <c r="C208" s="7" t="s">
        <v>536</v>
      </c>
      <c r="D208" s="9" t="n">
        <f aca="false">IFERROR(VLOOKUP(TRIM(CLEAN(SUBSTITUTE(A208,_xlfn.UNICHAR(160),""))),GiaCuoc!$A$2:$C$501,3,FALSE()),"Kiểm tra mã")</f>
        <v>55000</v>
      </c>
    </row>
    <row r="209" customFormat="false" ht="15" hidden="false" customHeight="false" outlineLevel="0" collapsed="false">
      <c r="A209" s="7" t="s">
        <v>293</v>
      </c>
      <c r="B209" s="7" t="s">
        <v>537</v>
      </c>
      <c r="C209" s="7" t="s">
        <v>530</v>
      </c>
      <c r="D209" s="9" t="n">
        <f aca="false">IFERROR(VLOOKUP(TRIM(CLEAN(SUBSTITUTE(A209,_xlfn.UNICHAR(160),""))),GiaCuoc!$A$2:$C$501,3,FALSE()),"Kiểm tra mã")</f>
        <v>25000</v>
      </c>
    </row>
    <row r="210" customFormat="false" ht="15" hidden="false" customHeight="false" outlineLevel="0" collapsed="false">
      <c r="A210" s="7" t="s">
        <v>262</v>
      </c>
      <c r="B210" s="7" t="s">
        <v>535</v>
      </c>
      <c r="C210" s="7" t="s">
        <v>529</v>
      </c>
      <c r="D210" s="9" t="n">
        <f aca="false">IFERROR(VLOOKUP(TRIM(CLEAN(SUBSTITUTE(A210,_xlfn.UNICHAR(160),""))),GiaCuoc!$A$2:$C$501,3,FALSE()),"Kiểm tra mã")</f>
        <v>35000</v>
      </c>
    </row>
    <row r="211" customFormat="false" ht="15" hidden="false" customHeight="false" outlineLevel="0" collapsed="false">
      <c r="A211" s="7" t="s">
        <v>31</v>
      </c>
      <c r="B211" s="7" t="s">
        <v>539</v>
      </c>
      <c r="C211" s="7" t="s">
        <v>530</v>
      </c>
      <c r="D211" s="9" t="n">
        <f aca="false">IFERROR(VLOOKUP(TRIM(CLEAN(SUBSTITUTE(A211,_xlfn.UNICHAR(160),""))),GiaCuoc!$A$2:$C$501,3,FALSE()),"Kiểm tra mã")</f>
        <v>25000</v>
      </c>
    </row>
    <row r="212" customFormat="false" ht="15" hidden="false" customHeight="false" outlineLevel="0" collapsed="false">
      <c r="A212" s="7" t="s">
        <v>392</v>
      </c>
      <c r="B212" s="7" t="s">
        <v>539</v>
      </c>
      <c r="C212" s="7" t="s">
        <v>530</v>
      </c>
      <c r="D212" s="9" t="n">
        <f aca="false">IFERROR(VLOOKUP(TRIM(CLEAN(SUBSTITUTE(A212,_xlfn.UNICHAR(160),""))),GiaCuoc!$A$2:$C$501,3,FALSE()),"Kiểm tra mã")</f>
        <v>80000</v>
      </c>
    </row>
    <row r="213" customFormat="false" ht="15" hidden="false" customHeight="false" outlineLevel="0" collapsed="false">
      <c r="A213" s="7" t="s">
        <v>104</v>
      </c>
      <c r="B213" s="7" t="s">
        <v>528</v>
      </c>
      <c r="C213" s="7" t="s">
        <v>530</v>
      </c>
      <c r="D213" s="9" t="n">
        <f aca="false">IFERROR(VLOOKUP(TRIM(CLEAN(SUBSTITUTE(A213,_xlfn.UNICHAR(160),""))),GiaCuoc!$A$2:$C$501,3,FALSE()),"Kiểm tra mã")</f>
        <v>55000</v>
      </c>
    </row>
    <row r="214" customFormat="false" ht="15" hidden="false" customHeight="false" outlineLevel="0" collapsed="false">
      <c r="A214" s="7" t="s">
        <v>428</v>
      </c>
      <c r="B214" s="7" t="s">
        <v>543</v>
      </c>
      <c r="C214" s="7" t="s">
        <v>530</v>
      </c>
      <c r="D214" s="9" t="n">
        <f aca="false">IFERROR(VLOOKUP(TRIM(CLEAN(SUBSTITUTE(A214,_xlfn.UNICHAR(160),""))),GiaCuoc!$A$2:$C$501,3,FALSE()),"Kiểm tra mã")</f>
        <v>35000</v>
      </c>
    </row>
    <row r="215" customFormat="false" ht="15" hidden="false" customHeight="false" outlineLevel="0" collapsed="false">
      <c r="A215" s="7" t="s">
        <v>206</v>
      </c>
      <c r="B215" s="7" t="s">
        <v>540</v>
      </c>
      <c r="C215" s="7" t="s">
        <v>530</v>
      </c>
      <c r="D215" s="9" t="n">
        <f aca="false">IFERROR(VLOOKUP(TRIM(CLEAN(SUBSTITUTE(A215,_xlfn.UNICHAR(160),""))),GiaCuoc!$A$2:$C$501,3,FALSE()),"Kiểm tra mã")</f>
        <v>55000</v>
      </c>
    </row>
    <row r="216" customFormat="false" ht="15" hidden="false" customHeight="false" outlineLevel="0" collapsed="false">
      <c r="A216" s="7" t="s">
        <v>131</v>
      </c>
      <c r="B216" s="7" t="s">
        <v>534</v>
      </c>
      <c r="C216" s="7" t="s">
        <v>536</v>
      </c>
      <c r="D216" s="9" t="n">
        <f aca="false">IFERROR(VLOOKUP(TRIM(CLEAN(SUBSTITUTE(A216,_xlfn.UNICHAR(160),""))),GiaCuoc!$A$2:$C$501,3,FALSE()),"Kiểm tra mã")</f>
        <v>80000</v>
      </c>
    </row>
    <row r="217" customFormat="false" ht="15" hidden="false" customHeight="false" outlineLevel="0" collapsed="false">
      <c r="A217" s="7" t="s">
        <v>33</v>
      </c>
      <c r="B217" s="7" t="s">
        <v>543</v>
      </c>
      <c r="C217" s="7" t="s">
        <v>536</v>
      </c>
      <c r="D217" s="9" t="n">
        <f aca="false">IFERROR(VLOOKUP(TRIM(CLEAN(SUBSTITUTE(A217,_xlfn.UNICHAR(160),""))),GiaCuoc!$A$2:$C$501,3,FALSE()),"Kiểm tra mã")</f>
        <v>25000</v>
      </c>
    </row>
    <row r="218" customFormat="false" ht="15" hidden="false" customHeight="false" outlineLevel="0" collapsed="false">
      <c r="A218" s="7" t="s">
        <v>89</v>
      </c>
      <c r="B218" s="7" t="s">
        <v>540</v>
      </c>
      <c r="C218" s="7" t="s">
        <v>529</v>
      </c>
      <c r="D218" s="9" t="n">
        <f aca="false">IFERROR(VLOOKUP(TRIM(CLEAN(SUBSTITUTE(A218,_xlfn.UNICHAR(160),""))),GiaCuoc!$A$2:$C$501,3,FALSE()),"Kiểm tra mã")</f>
        <v>25000</v>
      </c>
    </row>
    <row r="219" customFormat="false" ht="15" hidden="false" customHeight="false" outlineLevel="0" collapsed="false">
      <c r="A219" s="7" t="s">
        <v>409</v>
      </c>
      <c r="B219" s="7" t="s">
        <v>537</v>
      </c>
      <c r="C219" s="7" t="s">
        <v>536</v>
      </c>
      <c r="D219" s="9" t="n">
        <f aca="false">IFERROR(VLOOKUP(TRIM(CLEAN(SUBSTITUTE(A219,_xlfn.UNICHAR(160),""))),GiaCuoc!$A$2:$C$501,3,FALSE()),"Kiểm tra mã")</f>
        <v>55000</v>
      </c>
    </row>
    <row r="220" customFormat="false" ht="15" hidden="false" customHeight="false" outlineLevel="0" collapsed="false">
      <c r="A220" s="7" t="s">
        <v>483</v>
      </c>
      <c r="B220" s="7" t="s">
        <v>535</v>
      </c>
      <c r="C220" s="7" t="s">
        <v>536</v>
      </c>
      <c r="D220" s="9" t="n">
        <f aca="false">IFERROR(VLOOKUP(TRIM(CLEAN(SUBSTITUTE(A220,_xlfn.UNICHAR(160),""))),GiaCuoc!$A$2:$C$501,3,FALSE()),"Kiểm tra mã")</f>
        <v>55000</v>
      </c>
    </row>
    <row r="221" customFormat="false" ht="15" hidden="false" customHeight="false" outlineLevel="0" collapsed="false">
      <c r="A221" s="7" t="s">
        <v>485</v>
      </c>
      <c r="B221" s="7" t="s">
        <v>537</v>
      </c>
      <c r="C221" s="7" t="s">
        <v>529</v>
      </c>
      <c r="D221" s="9" t="n">
        <f aca="false">IFERROR(VLOOKUP(TRIM(CLEAN(SUBSTITUTE(A221,_xlfn.UNICHAR(160),""))),GiaCuoc!$A$2:$C$501,3,FALSE()),"Kiểm tra mã")</f>
        <v>25000</v>
      </c>
    </row>
    <row r="222" customFormat="false" ht="15" hidden="false" customHeight="false" outlineLevel="0" collapsed="false">
      <c r="A222" s="7" t="s">
        <v>147</v>
      </c>
      <c r="B222" s="7" t="s">
        <v>543</v>
      </c>
      <c r="C222" s="7" t="s">
        <v>536</v>
      </c>
      <c r="D222" s="9" t="n">
        <f aca="false">IFERROR(VLOOKUP(TRIM(CLEAN(SUBSTITUTE(A222,_xlfn.UNICHAR(160),""))),GiaCuoc!$A$2:$C$501,3,FALSE()),"Kiểm tra mã")</f>
        <v>55000</v>
      </c>
    </row>
    <row r="223" customFormat="false" ht="15" hidden="false" customHeight="false" outlineLevel="0" collapsed="false">
      <c r="A223" s="7" t="s">
        <v>88</v>
      </c>
      <c r="B223" s="7" t="s">
        <v>528</v>
      </c>
      <c r="C223" s="7" t="s">
        <v>530</v>
      </c>
      <c r="D223" s="9" t="n">
        <f aca="false">IFERROR(VLOOKUP(TRIM(CLEAN(SUBSTITUTE(A223,_xlfn.UNICHAR(160),""))),GiaCuoc!$A$2:$C$501,3,FALSE()),"Kiểm tra mã")</f>
        <v>80000</v>
      </c>
    </row>
    <row r="224" customFormat="false" ht="15" hidden="false" customHeight="false" outlineLevel="0" collapsed="false">
      <c r="A224" s="7" t="s">
        <v>240</v>
      </c>
      <c r="B224" s="7" t="s">
        <v>537</v>
      </c>
      <c r="C224" s="7" t="s">
        <v>530</v>
      </c>
      <c r="D224" s="9" t="n">
        <f aca="false">IFERROR(VLOOKUP(TRIM(CLEAN(SUBSTITUTE(A224,_xlfn.UNICHAR(160),""))),GiaCuoc!$A$2:$C$501,3,FALSE()),"Kiểm tra mã")</f>
        <v>25000</v>
      </c>
    </row>
    <row r="225" customFormat="false" ht="15" hidden="false" customHeight="false" outlineLevel="0" collapsed="false">
      <c r="A225" s="7" t="s">
        <v>402</v>
      </c>
      <c r="B225" s="7" t="s">
        <v>531</v>
      </c>
      <c r="C225" s="7" t="s">
        <v>529</v>
      </c>
      <c r="D225" s="9" t="n">
        <f aca="false">IFERROR(VLOOKUP(TRIM(CLEAN(SUBSTITUTE(A225,_xlfn.UNICHAR(160),""))),GiaCuoc!$A$2:$C$501,3,FALSE()),"Kiểm tra mã")</f>
        <v>55000</v>
      </c>
    </row>
    <row r="226" customFormat="false" ht="15" hidden="false" customHeight="false" outlineLevel="0" collapsed="false">
      <c r="A226" s="7" t="s">
        <v>106</v>
      </c>
      <c r="B226" s="7" t="s">
        <v>528</v>
      </c>
      <c r="C226" s="7" t="s">
        <v>536</v>
      </c>
      <c r="D226" s="9" t="n">
        <f aca="false">IFERROR(VLOOKUP(TRIM(CLEAN(SUBSTITUTE(A226,_xlfn.UNICHAR(160),""))),GiaCuoc!$A$2:$C$501,3,FALSE()),"Kiểm tra mã")</f>
        <v>55000</v>
      </c>
    </row>
    <row r="227" customFormat="false" ht="15" hidden="false" customHeight="false" outlineLevel="0" collapsed="false">
      <c r="A227" s="7" t="s">
        <v>505</v>
      </c>
      <c r="B227" s="7" t="s">
        <v>528</v>
      </c>
      <c r="C227" s="7" t="s">
        <v>530</v>
      </c>
      <c r="D227" s="9" t="n">
        <f aca="false">IFERROR(VLOOKUP(TRIM(CLEAN(SUBSTITUTE(A227,_xlfn.UNICHAR(160),""))),GiaCuoc!$A$2:$C$501,3,FALSE()),"Kiểm tra mã")</f>
        <v>80000</v>
      </c>
    </row>
    <row r="228" customFormat="false" ht="15" hidden="false" customHeight="false" outlineLevel="0" collapsed="false">
      <c r="A228" s="7" t="s">
        <v>143</v>
      </c>
      <c r="B228" s="7" t="s">
        <v>534</v>
      </c>
      <c r="C228" s="7" t="s">
        <v>530</v>
      </c>
      <c r="D228" s="9" t="n">
        <f aca="false">IFERROR(VLOOKUP(TRIM(CLEAN(SUBSTITUTE(A228,_xlfn.UNICHAR(160),""))),GiaCuoc!$A$2:$C$501,3,FALSE()),"Kiểm tra mã")</f>
        <v>55000</v>
      </c>
    </row>
    <row r="229" customFormat="false" ht="15" hidden="false" customHeight="false" outlineLevel="0" collapsed="false">
      <c r="A229" s="7" t="s">
        <v>278</v>
      </c>
      <c r="B229" s="7" t="s">
        <v>535</v>
      </c>
      <c r="C229" s="7" t="s">
        <v>529</v>
      </c>
      <c r="D229" s="9" t="n">
        <f aca="false">IFERROR(VLOOKUP(TRIM(CLEAN(SUBSTITUTE(A229,_xlfn.UNICHAR(160),""))),GiaCuoc!$A$2:$C$501,3,FALSE()),"Kiểm tra mã")</f>
        <v>35000</v>
      </c>
    </row>
    <row r="230" customFormat="false" ht="15" hidden="false" customHeight="false" outlineLevel="0" collapsed="false">
      <c r="A230" s="7" t="s">
        <v>470</v>
      </c>
      <c r="B230" s="7" t="s">
        <v>532</v>
      </c>
      <c r="C230" s="7" t="s">
        <v>530</v>
      </c>
      <c r="D230" s="9" t="n">
        <f aca="false">IFERROR(VLOOKUP(TRIM(CLEAN(SUBSTITUTE(A230,_xlfn.UNICHAR(160),""))),GiaCuoc!$A$2:$C$501,3,FALSE()),"Kiểm tra mã")</f>
        <v>55000</v>
      </c>
    </row>
    <row r="231" customFormat="false" ht="15" hidden="false" customHeight="false" outlineLevel="0" collapsed="false">
      <c r="A231" s="7" t="s">
        <v>26</v>
      </c>
      <c r="B231" s="7" t="s">
        <v>535</v>
      </c>
      <c r="C231" s="7" t="s">
        <v>536</v>
      </c>
      <c r="D231" s="9" t="n">
        <f aca="false">IFERROR(VLOOKUP(TRIM(CLEAN(SUBSTITUTE(A231,_xlfn.UNICHAR(160),""))),GiaCuoc!$A$2:$C$501,3,FALSE()),"Kiểm tra mã")</f>
        <v>80000</v>
      </c>
    </row>
    <row r="232" customFormat="false" ht="15" hidden="false" customHeight="false" outlineLevel="0" collapsed="false">
      <c r="A232" s="7" t="s">
        <v>284</v>
      </c>
      <c r="B232" s="7" t="s">
        <v>537</v>
      </c>
      <c r="C232" s="7" t="s">
        <v>529</v>
      </c>
      <c r="D232" s="9" t="n">
        <f aca="false">IFERROR(VLOOKUP(TRIM(CLEAN(SUBSTITUTE(A232,_xlfn.UNICHAR(160),""))),GiaCuoc!$A$2:$C$501,3,FALSE()),"Kiểm tra mã")</f>
        <v>35000</v>
      </c>
    </row>
    <row r="233" customFormat="false" ht="15" hidden="false" customHeight="false" outlineLevel="0" collapsed="false">
      <c r="A233" s="7" t="s">
        <v>179</v>
      </c>
      <c r="B233" s="7" t="s">
        <v>539</v>
      </c>
      <c r="C233" s="7" t="s">
        <v>536</v>
      </c>
      <c r="D233" s="9" t="n">
        <f aca="false">IFERROR(VLOOKUP(TRIM(CLEAN(SUBSTITUTE(A233,_xlfn.UNICHAR(160),""))),GiaCuoc!$A$2:$C$501,3,FALSE()),"Kiểm tra mã")</f>
        <v>55000</v>
      </c>
    </row>
    <row r="234" customFormat="false" ht="15" hidden="false" customHeight="false" outlineLevel="0" collapsed="false">
      <c r="A234" s="7" t="s">
        <v>228</v>
      </c>
      <c r="B234" s="7" t="s">
        <v>540</v>
      </c>
      <c r="C234" s="7" t="s">
        <v>530</v>
      </c>
      <c r="D234" s="9" t="n">
        <f aca="false">IFERROR(VLOOKUP(TRIM(CLEAN(SUBSTITUTE(A234,_xlfn.UNICHAR(160),""))),GiaCuoc!$A$2:$C$501,3,FALSE()),"Kiểm tra mã")</f>
        <v>35000</v>
      </c>
    </row>
    <row r="235" customFormat="false" ht="15" hidden="false" customHeight="false" outlineLevel="0" collapsed="false">
      <c r="A235" s="7" t="s">
        <v>452</v>
      </c>
      <c r="B235" s="7" t="s">
        <v>535</v>
      </c>
      <c r="C235" s="7" t="s">
        <v>536</v>
      </c>
      <c r="D235" s="9" t="n">
        <f aca="false">IFERROR(VLOOKUP(TRIM(CLEAN(SUBSTITUTE(A235,_xlfn.UNICHAR(160),""))),GiaCuoc!$A$2:$C$501,3,FALSE()),"Kiểm tra mã")</f>
        <v>55000</v>
      </c>
    </row>
    <row r="236" customFormat="false" ht="15" hidden="false" customHeight="false" outlineLevel="0" collapsed="false">
      <c r="A236" s="7" t="s">
        <v>92</v>
      </c>
      <c r="B236" s="7" t="s">
        <v>528</v>
      </c>
      <c r="C236" s="7" t="s">
        <v>536</v>
      </c>
      <c r="D236" s="9" t="n">
        <f aca="false">IFERROR(VLOOKUP(TRIM(CLEAN(SUBSTITUTE(A236,_xlfn.UNICHAR(160),""))),GiaCuoc!$A$2:$C$501,3,FALSE()),"Kiểm tra mã")</f>
        <v>55000</v>
      </c>
    </row>
    <row r="237" customFormat="false" ht="15" hidden="false" customHeight="false" outlineLevel="0" collapsed="false">
      <c r="A237" s="7" t="s">
        <v>125</v>
      </c>
      <c r="B237" s="7" t="s">
        <v>543</v>
      </c>
      <c r="C237" s="7" t="s">
        <v>530</v>
      </c>
      <c r="D237" s="9" t="n">
        <f aca="false">IFERROR(VLOOKUP(TRIM(CLEAN(SUBSTITUTE(A237,_xlfn.UNICHAR(160),""))),GiaCuoc!$A$2:$C$501,3,FALSE()),"Kiểm tra mã")</f>
        <v>55000</v>
      </c>
    </row>
    <row r="238" customFormat="false" ht="15" hidden="false" customHeight="false" outlineLevel="0" collapsed="false">
      <c r="A238" s="7" t="s">
        <v>75</v>
      </c>
      <c r="B238" s="7" t="s">
        <v>535</v>
      </c>
      <c r="C238" s="7" t="s">
        <v>536</v>
      </c>
      <c r="D238" s="9" t="n">
        <f aca="false">IFERROR(VLOOKUP(TRIM(CLEAN(SUBSTITUTE(A238,_xlfn.UNICHAR(160),""))),GiaCuoc!$A$2:$C$501,3,FALSE()),"Kiểm tra mã")</f>
        <v>25000</v>
      </c>
    </row>
    <row r="239" customFormat="false" ht="15" hidden="false" customHeight="false" outlineLevel="0" collapsed="false">
      <c r="A239" s="7" t="s">
        <v>175</v>
      </c>
      <c r="B239" s="7" t="s">
        <v>532</v>
      </c>
      <c r="C239" s="7" t="s">
        <v>530</v>
      </c>
      <c r="D239" s="9" t="n">
        <f aca="false">IFERROR(VLOOKUP(TRIM(CLEAN(SUBSTITUTE(A239,_xlfn.UNICHAR(160),""))),GiaCuoc!$A$2:$C$501,3,FALSE()),"Kiểm tra mã")</f>
        <v>35000</v>
      </c>
    </row>
    <row r="240" customFormat="false" ht="15" hidden="false" customHeight="false" outlineLevel="0" collapsed="false">
      <c r="A240" s="7" t="s">
        <v>460</v>
      </c>
      <c r="B240" s="7" t="s">
        <v>532</v>
      </c>
      <c r="C240" s="7" t="s">
        <v>530</v>
      </c>
      <c r="D240" s="9" t="n">
        <f aca="false">IFERROR(VLOOKUP(TRIM(CLEAN(SUBSTITUTE(A240,_xlfn.UNICHAR(160),""))),GiaCuoc!$A$2:$C$501,3,FALSE()),"Kiểm tra mã")</f>
        <v>25000</v>
      </c>
    </row>
    <row r="241" customFormat="false" ht="15" hidden="false" customHeight="false" outlineLevel="0" collapsed="false">
      <c r="A241" s="7" t="s">
        <v>401</v>
      </c>
      <c r="B241" s="7" t="s">
        <v>531</v>
      </c>
      <c r="C241" s="7" t="s">
        <v>530</v>
      </c>
      <c r="D241" s="9" t="n">
        <f aca="false">IFERROR(VLOOKUP(TRIM(CLEAN(SUBSTITUTE(A241,_xlfn.UNICHAR(160),""))),GiaCuoc!$A$2:$C$501,3,FALSE()),"Kiểm tra mã")</f>
        <v>35000</v>
      </c>
    </row>
    <row r="242" customFormat="false" ht="15" hidden="false" customHeight="false" outlineLevel="0" collapsed="false">
      <c r="A242" s="7" t="s">
        <v>44</v>
      </c>
      <c r="B242" s="7" t="s">
        <v>540</v>
      </c>
      <c r="C242" s="7" t="s">
        <v>530</v>
      </c>
      <c r="D242" s="9" t="n">
        <f aca="false">IFERROR(VLOOKUP(TRIM(CLEAN(SUBSTITUTE(A242,_xlfn.UNICHAR(160),""))),GiaCuoc!$A$2:$C$501,3,FALSE()),"Kiểm tra mã")</f>
        <v>25000</v>
      </c>
    </row>
    <row r="243" customFormat="false" ht="15" hidden="false" customHeight="false" outlineLevel="0" collapsed="false">
      <c r="A243" s="7" t="s">
        <v>377</v>
      </c>
      <c r="B243" s="7" t="s">
        <v>538</v>
      </c>
      <c r="C243" s="7" t="s">
        <v>536</v>
      </c>
      <c r="D243" s="9" t="n">
        <f aca="false">IFERROR(VLOOKUP(TRIM(CLEAN(SUBSTITUTE(A243,_xlfn.UNICHAR(160),""))),GiaCuoc!$A$2:$C$501,3,FALSE()),"Kiểm tra mã")</f>
        <v>25000</v>
      </c>
    </row>
    <row r="244" customFormat="false" ht="15" hidden="false" customHeight="false" outlineLevel="0" collapsed="false">
      <c r="A244" s="7" t="s">
        <v>54</v>
      </c>
      <c r="B244" s="7" t="s">
        <v>531</v>
      </c>
      <c r="C244" s="7" t="s">
        <v>529</v>
      </c>
      <c r="D244" s="9" t="n">
        <f aca="false">IFERROR(VLOOKUP(TRIM(CLEAN(SUBSTITUTE(A244,_xlfn.UNICHAR(160),""))),GiaCuoc!$A$2:$C$501,3,FALSE()),"Kiểm tra mã")</f>
        <v>35000</v>
      </c>
    </row>
    <row r="245" customFormat="false" ht="15" hidden="false" customHeight="false" outlineLevel="0" collapsed="false">
      <c r="A245" s="7" t="s">
        <v>221</v>
      </c>
      <c r="B245" s="7" t="s">
        <v>531</v>
      </c>
      <c r="C245" s="7" t="s">
        <v>536</v>
      </c>
      <c r="D245" s="9" t="n">
        <f aca="false">IFERROR(VLOOKUP(TRIM(CLEAN(SUBSTITUTE(A245,_xlfn.UNICHAR(160),""))),GiaCuoc!$A$2:$C$501,3,FALSE()),"Kiểm tra mã")</f>
        <v>55000</v>
      </c>
    </row>
    <row r="246" customFormat="false" ht="15" hidden="false" customHeight="false" outlineLevel="0" collapsed="false">
      <c r="A246" s="7" t="s">
        <v>204</v>
      </c>
      <c r="B246" s="7" t="s">
        <v>540</v>
      </c>
      <c r="C246" s="7" t="s">
        <v>530</v>
      </c>
      <c r="D246" s="9" t="n">
        <f aca="false">IFERROR(VLOOKUP(TRIM(CLEAN(SUBSTITUTE(A246,_xlfn.UNICHAR(160),""))),GiaCuoc!$A$2:$C$501,3,FALSE()),"Kiểm tra mã")</f>
        <v>55000</v>
      </c>
    </row>
    <row r="247" customFormat="false" ht="15" hidden="false" customHeight="false" outlineLevel="0" collapsed="false">
      <c r="A247" s="7" t="s">
        <v>494</v>
      </c>
      <c r="B247" s="7" t="s">
        <v>540</v>
      </c>
      <c r="C247" s="7" t="s">
        <v>530</v>
      </c>
      <c r="D247" s="9" t="n">
        <f aca="false">IFERROR(VLOOKUP(TRIM(CLEAN(SUBSTITUTE(A247,_xlfn.UNICHAR(160),""))),GiaCuoc!$A$2:$C$501,3,FALSE()),"Kiểm tra mã")</f>
        <v>80000</v>
      </c>
    </row>
    <row r="248" customFormat="false" ht="15" hidden="false" customHeight="false" outlineLevel="0" collapsed="false">
      <c r="A248" s="7" t="s">
        <v>188</v>
      </c>
      <c r="B248" s="7" t="s">
        <v>540</v>
      </c>
      <c r="C248" s="7" t="s">
        <v>536</v>
      </c>
      <c r="D248" s="9" t="n">
        <f aca="false">IFERROR(VLOOKUP(TRIM(CLEAN(SUBSTITUTE(A248,_xlfn.UNICHAR(160),""))),GiaCuoc!$A$2:$C$501,3,FALSE()),"Kiểm tra mã")</f>
        <v>55000</v>
      </c>
    </row>
    <row r="249" customFormat="false" ht="15" hidden="false" customHeight="false" outlineLevel="0" collapsed="false">
      <c r="A249" s="7" t="s">
        <v>161</v>
      </c>
      <c r="B249" s="7" t="s">
        <v>538</v>
      </c>
      <c r="C249" s="7" t="s">
        <v>536</v>
      </c>
      <c r="D249" s="9" t="n">
        <f aca="false">IFERROR(VLOOKUP(TRIM(CLEAN(SUBSTITUTE(A249,_xlfn.UNICHAR(160),""))),GiaCuoc!$A$2:$C$501,3,FALSE()),"Kiểm tra mã")</f>
        <v>25000</v>
      </c>
    </row>
    <row r="250" customFormat="false" ht="15" hidden="false" customHeight="false" outlineLevel="0" collapsed="false">
      <c r="A250" s="7" t="s">
        <v>315</v>
      </c>
      <c r="B250" s="7" t="s">
        <v>540</v>
      </c>
      <c r="C250" s="7" t="s">
        <v>530</v>
      </c>
      <c r="D250" s="9" t="n">
        <f aca="false">IFERROR(VLOOKUP(TRIM(CLEAN(SUBSTITUTE(A250,_xlfn.UNICHAR(160),""))),GiaCuoc!$A$2:$C$501,3,FALSE()),"Kiểm tra mã")</f>
        <v>35000</v>
      </c>
    </row>
    <row r="251" customFormat="false" ht="15" hidden="false" customHeight="false" outlineLevel="0" collapsed="false">
      <c r="A251" s="7" t="s">
        <v>186</v>
      </c>
      <c r="B251" s="7" t="s">
        <v>532</v>
      </c>
      <c r="C251" s="7" t="s">
        <v>529</v>
      </c>
      <c r="D251" s="9" t="n">
        <f aca="false">IFERROR(VLOOKUP(TRIM(CLEAN(SUBSTITUTE(A251,_xlfn.UNICHAR(160),""))),GiaCuoc!$A$2:$C$501,3,FALSE()),"Kiểm tra mã")</f>
        <v>80000</v>
      </c>
    </row>
    <row r="252" customFormat="false" ht="15" hidden="false" customHeight="false" outlineLevel="0" collapsed="false">
      <c r="A252" s="7" t="s">
        <v>547</v>
      </c>
      <c r="B252" s="7" t="s">
        <v>528</v>
      </c>
      <c r="C252" s="7" t="s">
        <v>536</v>
      </c>
      <c r="D252" s="9" t="str">
        <f aca="false">IFERROR(VLOOKUP(TRIM(CLEAN(SUBSTITUTE(A252,_xlfn.UNICHAR(160),""))),GiaCuoc!$A$2:$C$501,3,FALSE()),"Kiểm tra mã")</f>
        <v>Kiểm tra mã</v>
      </c>
    </row>
    <row r="253" customFormat="false" ht="15" hidden="false" customHeight="false" outlineLevel="0" collapsed="false">
      <c r="A253" s="7" t="s">
        <v>501</v>
      </c>
      <c r="B253" s="7" t="s">
        <v>538</v>
      </c>
      <c r="C253" s="7" t="s">
        <v>536</v>
      </c>
      <c r="D253" s="9" t="n">
        <f aca="false">IFERROR(VLOOKUP(TRIM(CLEAN(SUBSTITUTE(A253,_xlfn.UNICHAR(160),""))),GiaCuoc!$A$2:$C$501,3,FALSE()),"Kiểm tra mã")</f>
        <v>35000</v>
      </c>
    </row>
    <row r="254" customFormat="false" ht="15" hidden="false" customHeight="false" outlineLevel="0" collapsed="false">
      <c r="A254" s="7" t="s">
        <v>289</v>
      </c>
      <c r="B254" s="7" t="s">
        <v>535</v>
      </c>
      <c r="C254" s="7" t="s">
        <v>530</v>
      </c>
      <c r="D254" s="9" t="n">
        <f aca="false">IFERROR(VLOOKUP(TRIM(CLEAN(SUBSTITUTE(A254,_xlfn.UNICHAR(160),""))),GiaCuoc!$A$2:$C$501,3,FALSE()),"Kiểm tra mã")</f>
        <v>35000</v>
      </c>
    </row>
    <row r="255" customFormat="false" ht="15" hidden="false" customHeight="false" outlineLevel="0" collapsed="false">
      <c r="A255" s="7" t="s">
        <v>209</v>
      </c>
      <c r="B255" s="7" t="s">
        <v>528</v>
      </c>
      <c r="C255" s="7" t="s">
        <v>530</v>
      </c>
      <c r="D255" s="9" t="n">
        <f aca="false">IFERROR(VLOOKUP(TRIM(CLEAN(SUBSTITUTE(A255,_xlfn.UNICHAR(160),""))),GiaCuoc!$A$2:$C$501,3,FALSE()),"Kiểm tra mã")</f>
        <v>35000</v>
      </c>
    </row>
    <row r="256" customFormat="false" ht="15" hidden="false" customHeight="false" outlineLevel="0" collapsed="false">
      <c r="A256" s="7" t="s">
        <v>191</v>
      </c>
      <c r="B256" s="7" t="s">
        <v>528</v>
      </c>
      <c r="C256" s="7" t="s">
        <v>530</v>
      </c>
      <c r="D256" s="9" t="n">
        <f aca="false">IFERROR(VLOOKUP(TRIM(CLEAN(SUBSTITUTE(A256,_xlfn.UNICHAR(160),""))),GiaCuoc!$A$2:$C$501,3,FALSE()),"Kiểm tra mã")</f>
        <v>25000</v>
      </c>
    </row>
    <row r="257" customFormat="false" ht="15" hidden="false" customHeight="false" outlineLevel="0" collapsed="false">
      <c r="A257" s="7" t="s">
        <v>45</v>
      </c>
      <c r="B257" s="7" t="s">
        <v>540</v>
      </c>
      <c r="C257" s="7" t="s">
        <v>530</v>
      </c>
      <c r="D257" s="9" t="n">
        <f aca="false">IFERROR(VLOOKUP(TRIM(CLEAN(SUBSTITUTE(A257,_xlfn.UNICHAR(160),""))),GiaCuoc!$A$2:$C$501,3,FALSE()),"Kiểm tra mã")</f>
        <v>35000</v>
      </c>
    </row>
    <row r="258" customFormat="false" ht="15" hidden="false" customHeight="false" outlineLevel="0" collapsed="false">
      <c r="A258" s="7" t="s">
        <v>145</v>
      </c>
      <c r="B258" s="7" t="s">
        <v>538</v>
      </c>
      <c r="C258" s="7" t="s">
        <v>536</v>
      </c>
      <c r="D258" s="9" t="n">
        <f aca="false">IFERROR(VLOOKUP(TRIM(CLEAN(SUBSTITUTE(A258,_xlfn.UNICHAR(160),""))),GiaCuoc!$A$2:$C$501,3,FALSE()),"Kiểm tra mã")</f>
        <v>35000</v>
      </c>
    </row>
    <row r="259" customFormat="false" ht="15" hidden="false" customHeight="false" outlineLevel="0" collapsed="false">
      <c r="A259" s="7" t="s">
        <v>504</v>
      </c>
      <c r="B259" s="7" t="s">
        <v>543</v>
      </c>
      <c r="C259" s="7" t="s">
        <v>529</v>
      </c>
      <c r="D259" s="9" t="n">
        <f aca="false">IFERROR(VLOOKUP(TRIM(CLEAN(SUBSTITUTE(A259,_xlfn.UNICHAR(160),""))),GiaCuoc!$A$2:$C$501,3,FALSE()),"Kiểm tra mã")</f>
        <v>80000</v>
      </c>
    </row>
    <row r="260" customFormat="false" ht="15" hidden="false" customHeight="false" outlineLevel="0" collapsed="false">
      <c r="A260" s="7" t="s">
        <v>298</v>
      </c>
      <c r="B260" s="7" t="s">
        <v>538</v>
      </c>
      <c r="C260" s="7" t="s">
        <v>530</v>
      </c>
      <c r="D260" s="9" t="n">
        <f aca="false">IFERROR(VLOOKUP(TRIM(CLEAN(SUBSTITUTE(A260,_xlfn.UNICHAR(160),""))),GiaCuoc!$A$2:$C$501,3,FALSE()),"Kiểm tra mã")</f>
        <v>25000</v>
      </c>
    </row>
    <row r="261" customFormat="false" ht="15" hidden="false" customHeight="false" outlineLevel="0" collapsed="false">
      <c r="A261" s="7" t="s">
        <v>46</v>
      </c>
      <c r="B261" s="7" t="s">
        <v>538</v>
      </c>
      <c r="C261" s="7" t="s">
        <v>536</v>
      </c>
      <c r="D261" s="9" t="n">
        <f aca="false">IFERROR(VLOOKUP(TRIM(CLEAN(SUBSTITUTE(A261,_xlfn.UNICHAR(160),""))),GiaCuoc!$A$2:$C$501,3,FALSE()),"Kiểm tra mã")</f>
        <v>25000</v>
      </c>
    </row>
    <row r="262" customFormat="false" ht="15" hidden="false" customHeight="false" outlineLevel="0" collapsed="false">
      <c r="A262" s="7" t="s">
        <v>479</v>
      </c>
      <c r="B262" s="7" t="s">
        <v>528</v>
      </c>
      <c r="C262" s="7" t="s">
        <v>529</v>
      </c>
      <c r="D262" s="9" t="n">
        <f aca="false">IFERROR(VLOOKUP(TRIM(CLEAN(SUBSTITUTE(A262,_xlfn.UNICHAR(160),""))),GiaCuoc!$A$2:$C$501,3,FALSE()),"Kiểm tra mã")</f>
        <v>25000</v>
      </c>
    </row>
    <row r="263" customFormat="false" ht="15" hidden="false" customHeight="false" outlineLevel="0" collapsed="false">
      <c r="A263" s="7" t="s">
        <v>475</v>
      </c>
      <c r="B263" s="7" t="s">
        <v>534</v>
      </c>
      <c r="C263" s="7" t="s">
        <v>529</v>
      </c>
      <c r="D263" s="9" t="n">
        <f aca="false">IFERROR(VLOOKUP(TRIM(CLEAN(SUBSTITUTE(A263,_xlfn.UNICHAR(160),""))),GiaCuoc!$A$2:$C$501,3,FALSE()),"Kiểm tra mã")</f>
        <v>55000</v>
      </c>
    </row>
    <row r="264" customFormat="false" ht="15" hidden="false" customHeight="false" outlineLevel="0" collapsed="false">
      <c r="A264" s="7" t="s">
        <v>292</v>
      </c>
      <c r="B264" s="7" t="s">
        <v>535</v>
      </c>
      <c r="C264" s="7" t="s">
        <v>529</v>
      </c>
      <c r="D264" s="9" t="n">
        <f aca="false">IFERROR(VLOOKUP(TRIM(CLEAN(SUBSTITUTE(A264,_xlfn.UNICHAR(160),""))),GiaCuoc!$A$2:$C$501,3,FALSE()),"Kiểm tra mã")</f>
        <v>80000</v>
      </c>
    </row>
    <row r="265" customFormat="false" ht="15" hidden="false" customHeight="false" outlineLevel="0" collapsed="false">
      <c r="A265" s="7" t="s">
        <v>103</v>
      </c>
      <c r="B265" s="7" t="s">
        <v>540</v>
      </c>
      <c r="C265" s="7" t="s">
        <v>529</v>
      </c>
      <c r="D265" s="9" t="n">
        <f aca="false">IFERROR(VLOOKUP(TRIM(CLEAN(SUBSTITUTE(A265,_xlfn.UNICHAR(160),""))),GiaCuoc!$A$2:$C$501,3,FALSE()),"Kiểm tra mã")</f>
        <v>80000</v>
      </c>
    </row>
    <row r="266" customFormat="false" ht="15" hidden="false" customHeight="false" outlineLevel="0" collapsed="false">
      <c r="A266" s="7" t="s">
        <v>105</v>
      </c>
      <c r="B266" s="7" t="s">
        <v>543</v>
      </c>
      <c r="C266" s="7" t="s">
        <v>529</v>
      </c>
      <c r="D266" s="9" t="n">
        <f aca="false">IFERROR(VLOOKUP(TRIM(CLEAN(SUBSTITUTE(A266,_xlfn.UNICHAR(160),""))),GiaCuoc!$A$2:$C$501,3,FALSE()),"Kiểm tra mã")</f>
        <v>80000</v>
      </c>
    </row>
    <row r="267" customFormat="false" ht="15" hidden="false" customHeight="false" outlineLevel="0" collapsed="false">
      <c r="A267" s="7" t="s">
        <v>140</v>
      </c>
      <c r="B267" s="7" t="s">
        <v>540</v>
      </c>
      <c r="C267" s="7" t="s">
        <v>536</v>
      </c>
      <c r="D267" s="9" t="n">
        <f aca="false">IFERROR(VLOOKUP(TRIM(CLEAN(SUBSTITUTE(A267,_xlfn.UNICHAR(160),""))),GiaCuoc!$A$2:$C$501,3,FALSE()),"Kiểm tra mã")</f>
        <v>80000</v>
      </c>
    </row>
    <row r="268" customFormat="false" ht="15" hidden="false" customHeight="false" outlineLevel="0" collapsed="false">
      <c r="A268" s="7" t="s">
        <v>81</v>
      </c>
      <c r="B268" s="7" t="s">
        <v>534</v>
      </c>
      <c r="C268" s="7" t="s">
        <v>529</v>
      </c>
      <c r="D268" s="9" t="n">
        <f aca="false">IFERROR(VLOOKUP(TRIM(CLEAN(SUBSTITUTE(A268,_xlfn.UNICHAR(160),""))),GiaCuoc!$A$2:$C$501,3,FALSE()),"Kiểm tra mã")</f>
        <v>25000</v>
      </c>
    </row>
    <row r="269" customFormat="false" ht="15" hidden="false" customHeight="false" outlineLevel="0" collapsed="false">
      <c r="A269" s="7" t="s">
        <v>337</v>
      </c>
      <c r="B269" s="7" t="s">
        <v>532</v>
      </c>
      <c r="C269" s="7" t="s">
        <v>536</v>
      </c>
      <c r="D269" s="9" t="n">
        <f aca="false">IFERROR(VLOOKUP(TRIM(CLEAN(SUBSTITUTE(A269,_xlfn.UNICHAR(160),""))),GiaCuoc!$A$2:$C$501,3,FALSE()),"Kiểm tra mã")</f>
        <v>25000</v>
      </c>
    </row>
    <row r="270" customFormat="false" ht="15" hidden="false" customHeight="false" outlineLevel="0" collapsed="false">
      <c r="A270" s="7" t="s">
        <v>255</v>
      </c>
      <c r="B270" s="7" t="s">
        <v>539</v>
      </c>
      <c r="C270" s="7" t="s">
        <v>529</v>
      </c>
      <c r="D270" s="9" t="n">
        <f aca="false">IFERROR(VLOOKUP(TRIM(CLEAN(SUBSTITUTE(A270,_xlfn.UNICHAR(160),""))),GiaCuoc!$A$2:$C$501,3,FALSE()),"Kiểm tra mã")</f>
        <v>25000</v>
      </c>
    </row>
    <row r="271" customFormat="false" ht="15" hidden="false" customHeight="false" outlineLevel="0" collapsed="false">
      <c r="A271" s="7" t="s">
        <v>265</v>
      </c>
      <c r="B271" s="7" t="s">
        <v>532</v>
      </c>
      <c r="C271" s="7" t="s">
        <v>536</v>
      </c>
      <c r="D271" s="9" t="n">
        <f aca="false">IFERROR(VLOOKUP(TRIM(CLEAN(SUBSTITUTE(A271,_xlfn.UNICHAR(160),""))),GiaCuoc!$A$2:$C$501,3,FALSE()),"Kiểm tra mã")</f>
        <v>25000</v>
      </c>
    </row>
    <row r="272" customFormat="false" ht="15" hidden="false" customHeight="false" outlineLevel="0" collapsed="false">
      <c r="A272" s="7" t="s">
        <v>226</v>
      </c>
      <c r="B272" s="7" t="s">
        <v>540</v>
      </c>
      <c r="C272" s="7" t="s">
        <v>529</v>
      </c>
      <c r="D272" s="9" t="n">
        <f aca="false">IFERROR(VLOOKUP(TRIM(CLEAN(SUBSTITUTE(A272,_xlfn.UNICHAR(160),""))),GiaCuoc!$A$2:$C$501,3,FALSE()),"Kiểm tra mã")</f>
        <v>55000</v>
      </c>
    </row>
    <row r="273" customFormat="false" ht="15" hidden="false" customHeight="false" outlineLevel="0" collapsed="false">
      <c r="A273" s="7" t="s">
        <v>63</v>
      </c>
      <c r="B273" s="7" t="s">
        <v>540</v>
      </c>
      <c r="C273" s="7" t="s">
        <v>529</v>
      </c>
      <c r="D273" s="9" t="n">
        <f aca="false">IFERROR(VLOOKUP(TRIM(CLEAN(SUBSTITUTE(A273,_xlfn.UNICHAR(160),""))),GiaCuoc!$A$2:$C$501,3,FALSE()),"Kiểm tra mã")</f>
        <v>25000</v>
      </c>
    </row>
    <row r="274" customFormat="false" ht="15" hidden="false" customHeight="false" outlineLevel="0" collapsed="false">
      <c r="A274" s="7" t="s">
        <v>429</v>
      </c>
      <c r="B274" s="7" t="s">
        <v>537</v>
      </c>
      <c r="C274" s="7" t="s">
        <v>530</v>
      </c>
      <c r="D274" s="9" t="n">
        <f aca="false">IFERROR(VLOOKUP(TRIM(CLEAN(SUBSTITUTE(A274,_xlfn.UNICHAR(160),""))),GiaCuoc!$A$2:$C$501,3,FALSE()),"Kiểm tra mã")</f>
        <v>35000</v>
      </c>
    </row>
    <row r="275" customFormat="false" ht="15" hidden="false" customHeight="false" outlineLevel="0" collapsed="false">
      <c r="A275" s="7" t="s">
        <v>523</v>
      </c>
      <c r="B275" s="7" t="s">
        <v>534</v>
      </c>
      <c r="C275" s="7" t="s">
        <v>529</v>
      </c>
      <c r="D275" s="9" t="n">
        <f aca="false">IFERROR(VLOOKUP(TRIM(CLEAN(SUBSTITUTE(A275,_xlfn.UNICHAR(160),""))),GiaCuoc!$A$2:$C$501,3,FALSE()),"Kiểm tra mã")</f>
        <v>80000</v>
      </c>
    </row>
    <row r="276" customFormat="false" ht="15" hidden="false" customHeight="false" outlineLevel="0" collapsed="false">
      <c r="A276" s="7" t="s">
        <v>478</v>
      </c>
      <c r="B276" s="7" t="s">
        <v>540</v>
      </c>
      <c r="C276" s="7" t="s">
        <v>536</v>
      </c>
      <c r="D276" s="9" t="n">
        <f aca="false">IFERROR(VLOOKUP(TRIM(CLEAN(SUBSTITUTE(A276,_xlfn.UNICHAR(160),""))),GiaCuoc!$A$2:$C$501,3,FALSE()),"Kiểm tra mã")</f>
        <v>80000</v>
      </c>
    </row>
    <row r="277" customFormat="false" ht="15" hidden="false" customHeight="false" outlineLevel="0" collapsed="false">
      <c r="A277" s="7" t="s">
        <v>243</v>
      </c>
      <c r="B277" s="7" t="s">
        <v>532</v>
      </c>
      <c r="C277" s="7" t="s">
        <v>530</v>
      </c>
      <c r="D277" s="9" t="n">
        <f aca="false">IFERROR(VLOOKUP(TRIM(CLEAN(SUBSTITUTE(A277,_xlfn.UNICHAR(160),""))),GiaCuoc!$A$2:$C$501,3,FALSE()),"Kiểm tra mã")</f>
        <v>80000</v>
      </c>
    </row>
    <row r="278" customFormat="false" ht="15" hidden="false" customHeight="false" outlineLevel="0" collapsed="false">
      <c r="A278" s="7" t="s">
        <v>42</v>
      </c>
      <c r="B278" s="7" t="s">
        <v>538</v>
      </c>
      <c r="C278" s="7" t="s">
        <v>536</v>
      </c>
      <c r="D278" s="9" t="n">
        <f aca="false">IFERROR(VLOOKUP(TRIM(CLEAN(SUBSTITUTE(A278,_xlfn.UNICHAR(160),""))),GiaCuoc!$A$2:$C$501,3,FALSE()),"Kiểm tra mã")</f>
        <v>80000</v>
      </c>
    </row>
    <row r="279" customFormat="false" ht="15" hidden="false" customHeight="false" outlineLevel="0" collapsed="false">
      <c r="A279" s="7" t="s">
        <v>375</v>
      </c>
      <c r="B279" s="7" t="s">
        <v>543</v>
      </c>
      <c r="C279" s="7" t="s">
        <v>530</v>
      </c>
      <c r="D279" s="9" t="n">
        <f aca="false">IFERROR(VLOOKUP(TRIM(CLEAN(SUBSTITUTE(A279,_xlfn.UNICHAR(160),""))),GiaCuoc!$A$2:$C$501,3,FALSE()),"Kiểm tra mã")</f>
        <v>80000</v>
      </c>
    </row>
    <row r="280" customFormat="false" ht="15" hidden="false" customHeight="false" outlineLevel="0" collapsed="false">
      <c r="A280" s="7" t="s">
        <v>37</v>
      </c>
      <c r="B280" s="7" t="s">
        <v>535</v>
      </c>
      <c r="C280" s="7" t="s">
        <v>530</v>
      </c>
      <c r="D280" s="9" t="n">
        <f aca="false">IFERROR(VLOOKUP(TRIM(CLEAN(SUBSTITUTE(A280,_xlfn.UNICHAR(160),""))),GiaCuoc!$A$2:$C$501,3,FALSE()),"Kiểm tra mã")</f>
        <v>80000</v>
      </c>
    </row>
    <row r="281" customFormat="false" ht="15" hidden="false" customHeight="false" outlineLevel="0" collapsed="false">
      <c r="A281" s="7" t="s">
        <v>480</v>
      </c>
      <c r="B281" s="7" t="s">
        <v>537</v>
      </c>
      <c r="C281" s="7" t="s">
        <v>530</v>
      </c>
      <c r="D281" s="9" t="n">
        <f aca="false">IFERROR(VLOOKUP(TRIM(CLEAN(SUBSTITUTE(A281,_xlfn.UNICHAR(160),""))),GiaCuoc!$A$2:$C$501,3,FALSE()),"Kiểm tra mã")</f>
        <v>80000</v>
      </c>
    </row>
    <row r="282" customFormat="false" ht="15" hidden="false" customHeight="false" outlineLevel="0" collapsed="false">
      <c r="A282" s="7" t="s">
        <v>247</v>
      </c>
      <c r="B282" s="7" t="s">
        <v>543</v>
      </c>
      <c r="C282" s="7" t="s">
        <v>530</v>
      </c>
      <c r="D282" s="9" t="n">
        <f aca="false">IFERROR(VLOOKUP(TRIM(CLEAN(SUBSTITUTE(A282,_xlfn.UNICHAR(160),""))),GiaCuoc!$A$2:$C$501,3,FALSE()),"Kiểm tra mã")</f>
        <v>25000</v>
      </c>
    </row>
    <row r="283" customFormat="false" ht="15" hidden="false" customHeight="false" outlineLevel="0" collapsed="false">
      <c r="A283" s="7" t="s">
        <v>254</v>
      </c>
      <c r="B283" s="7" t="s">
        <v>540</v>
      </c>
      <c r="C283" s="7" t="s">
        <v>529</v>
      </c>
      <c r="D283" s="9" t="n">
        <f aca="false">IFERROR(VLOOKUP(TRIM(CLEAN(SUBSTITUTE(A283,_xlfn.UNICHAR(160),""))),GiaCuoc!$A$2:$C$501,3,FALSE()),"Kiểm tra mã")</f>
        <v>35000</v>
      </c>
    </row>
    <row r="284" customFormat="false" ht="15" hidden="false" customHeight="false" outlineLevel="0" collapsed="false">
      <c r="A284" s="7" t="s">
        <v>390</v>
      </c>
      <c r="B284" s="7" t="s">
        <v>539</v>
      </c>
      <c r="C284" s="7" t="s">
        <v>530</v>
      </c>
      <c r="D284" s="9" t="n">
        <f aca="false">IFERROR(VLOOKUP(TRIM(CLEAN(SUBSTITUTE(A284,_xlfn.UNICHAR(160),""))),GiaCuoc!$A$2:$C$501,3,FALSE()),"Kiểm tra mã")</f>
        <v>55000</v>
      </c>
    </row>
    <row r="285" customFormat="false" ht="15" hidden="false" customHeight="false" outlineLevel="0" collapsed="false">
      <c r="A285" s="7" t="s">
        <v>413</v>
      </c>
      <c r="B285" s="7" t="s">
        <v>539</v>
      </c>
      <c r="C285" s="7" t="s">
        <v>536</v>
      </c>
      <c r="D285" s="9" t="n">
        <f aca="false">IFERROR(VLOOKUP(TRIM(CLEAN(SUBSTITUTE(A285,_xlfn.UNICHAR(160),""))),GiaCuoc!$A$2:$C$501,3,FALSE()),"Kiểm tra mã")</f>
        <v>55000</v>
      </c>
    </row>
    <row r="286" customFormat="false" ht="15" hidden="false" customHeight="false" outlineLevel="0" collapsed="false">
      <c r="A286" s="7" t="s">
        <v>400</v>
      </c>
      <c r="B286" s="7" t="s">
        <v>531</v>
      </c>
      <c r="C286" s="7" t="s">
        <v>529</v>
      </c>
      <c r="D286" s="9" t="n">
        <f aca="false">IFERROR(VLOOKUP(TRIM(CLEAN(SUBSTITUTE(A286,_xlfn.UNICHAR(160),""))),GiaCuoc!$A$2:$C$501,3,FALSE()),"Kiểm tra mã")</f>
        <v>25000</v>
      </c>
    </row>
    <row r="287" customFormat="false" ht="15" hidden="false" customHeight="false" outlineLevel="0" collapsed="false">
      <c r="A287" s="7" t="s">
        <v>322</v>
      </c>
      <c r="B287" s="7" t="s">
        <v>532</v>
      </c>
      <c r="C287" s="7" t="s">
        <v>529</v>
      </c>
      <c r="D287" s="9" t="n">
        <f aca="false">IFERROR(VLOOKUP(TRIM(CLEAN(SUBSTITUTE(A287,_xlfn.UNICHAR(160),""))),GiaCuoc!$A$2:$C$501,3,FALSE()),"Kiểm tra mã")</f>
        <v>55000</v>
      </c>
    </row>
    <row r="288" customFormat="false" ht="15" hidden="false" customHeight="false" outlineLevel="0" collapsed="false">
      <c r="A288" s="7" t="s">
        <v>73</v>
      </c>
      <c r="B288" s="7" t="s">
        <v>537</v>
      </c>
      <c r="C288" s="7" t="s">
        <v>529</v>
      </c>
      <c r="D288" s="9" t="n">
        <f aca="false">IFERROR(VLOOKUP(TRIM(CLEAN(SUBSTITUTE(A288,_xlfn.UNICHAR(160),""))),GiaCuoc!$A$2:$C$501,3,FALSE()),"Kiểm tra mã")</f>
        <v>35000</v>
      </c>
    </row>
    <row r="289" customFormat="false" ht="15" hidden="false" customHeight="false" outlineLevel="0" collapsed="false">
      <c r="A289" s="7" t="s">
        <v>136</v>
      </c>
      <c r="B289" s="7" t="s">
        <v>532</v>
      </c>
      <c r="C289" s="7" t="s">
        <v>530</v>
      </c>
      <c r="D289" s="9" t="n">
        <f aca="false">IFERROR(VLOOKUP(TRIM(CLEAN(SUBSTITUTE(A289,_xlfn.UNICHAR(160),""))),GiaCuoc!$A$2:$C$501,3,FALSE()),"Kiểm tra mã")</f>
        <v>35000</v>
      </c>
    </row>
    <row r="290" customFormat="false" ht="15" hidden="false" customHeight="false" outlineLevel="0" collapsed="false">
      <c r="A290" s="7" t="s">
        <v>296</v>
      </c>
      <c r="B290" s="7" t="s">
        <v>543</v>
      </c>
      <c r="C290" s="7" t="s">
        <v>530</v>
      </c>
      <c r="D290" s="9" t="n">
        <f aca="false">IFERROR(VLOOKUP(TRIM(CLEAN(SUBSTITUTE(A290,_xlfn.UNICHAR(160),""))),GiaCuoc!$A$2:$C$501,3,FALSE()),"Kiểm tra mã")</f>
        <v>80000</v>
      </c>
    </row>
    <row r="291" customFormat="false" ht="15" hidden="false" customHeight="false" outlineLevel="0" collapsed="false">
      <c r="A291" s="7" t="s">
        <v>283</v>
      </c>
      <c r="B291" s="7" t="s">
        <v>528</v>
      </c>
      <c r="C291" s="7" t="s">
        <v>529</v>
      </c>
      <c r="D291" s="9" t="n">
        <f aca="false">IFERROR(VLOOKUP(TRIM(CLEAN(SUBSTITUTE(A291,_xlfn.UNICHAR(160),""))),GiaCuoc!$A$2:$C$501,3,FALSE()),"Kiểm tra mã")</f>
        <v>35000</v>
      </c>
    </row>
    <row r="292" customFormat="false" ht="15" hidden="false" customHeight="false" outlineLevel="0" collapsed="false">
      <c r="A292" s="7" t="s">
        <v>90</v>
      </c>
      <c r="B292" s="7" t="s">
        <v>531</v>
      </c>
      <c r="C292" s="7" t="s">
        <v>530</v>
      </c>
      <c r="D292" s="9" t="n">
        <f aca="false">IFERROR(VLOOKUP(TRIM(CLEAN(SUBSTITUTE(A292,_xlfn.UNICHAR(160),""))),GiaCuoc!$A$2:$C$501,3,FALSE()),"Kiểm tra mã")</f>
        <v>25000</v>
      </c>
    </row>
    <row r="293" customFormat="false" ht="15" hidden="false" customHeight="false" outlineLevel="0" collapsed="false">
      <c r="A293" s="7" t="s">
        <v>411</v>
      </c>
      <c r="B293" s="7" t="s">
        <v>538</v>
      </c>
      <c r="C293" s="7" t="s">
        <v>529</v>
      </c>
      <c r="D293" s="9" t="n">
        <f aca="false">IFERROR(VLOOKUP(TRIM(CLEAN(SUBSTITUTE(A293,_xlfn.UNICHAR(160),""))),GiaCuoc!$A$2:$C$501,3,FALSE()),"Kiểm tra mã")</f>
        <v>35000</v>
      </c>
    </row>
    <row r="294" customFormat="false" ht="15" hidden="false" customHeight="false" outlineLevel="0" collapsed="false">
      <c r="A294" s="7" t="s">
        <v>168</v>
      </c>
      <c r="B294" s="7" t="s">
        <v>537</v>
      </c>
      <c r="C294" s="7" t="s">
        <v>530</v>
      </c>
      <c r="D294" s="9" t="n">
        <f aca="false">IFERROR(VLOOKUP(TRIM(CLEAN(SUBSTITUTE(A294,_xlfn.UNICHAR(160),""))),GiaCuoc!$A$2:$C$501,3,FALSE()),"Kiểm tra mã")</f>
        <v>25000</v>
      </c>
    </row>
    <row r="295" customFormat="false" ht="15" hidden="false" customHeight="false" outlineLevel="0" collapsed="false">
      <c r="A295" s="7" t="s">
        <v>281</v>
      </c>
      <c r="B295" s="7" t="s">
        <v>534</v>
      </c>
      <c r="C295" s="7" t="s">
        <v>529</v>
      </c>
      <c r="D295" s="9" t="n">
        <f aca="false">IFERROR(VLOOKUP(TRIM(CLEAN(SUBSTITUTE(A295,_xlfn.UNICHAR(160),""))),GiaCuoc!$A$2:$C$501,3,FALSE()),"Kiểm tra mã")</f>
        <v>80000</v>
      </c>
    </row>
    <row r="296" customFormat="false" ht="15" hidden="false" customHeight="false" outlineLevel="0" collapsed="false">
      <c r="A296" s="7" t="s">
        <v>500</v>
      </c>
      <c r="B296" s="7" t="s">
        <v>538</v>
      </c>
      <c r="C296" s="7" t="s">
        <v>529</v>
      </c>
      <c r="D296" s="9" t="n">
        <f aca="false">IFERROR(VLOOKUP(TRIM(CLEAN(SUBSTITUTE(A296,_xlfn.UNICHAR(160),""))),GiaCuoc!$A$2:$C$501,3,FALSE()),"Kiểm tra mã")</f>
        <v>25000</v>
      </c>
    </row>
    <row r="297" customFormat="false" ht="15" hidden="false" customHeight="false" outlineLevel="0" collapsed="false">
      <c r="A297" s="7" t="s">
        <v>426</v>
      </c>
      <c r="B297" s="7" t="s">
        <v>535</v>
      </c>
      <c r="C297" s="7" t="s">
        <v>536</v>
      </c>
      <c r="D297" s="9" t="n">
        <f aca="false">IFERROR(VLOOKUP(TRIM(CLEAN(SUBSTITUTE(A297,_xlfn.UNICHAR(160),""))),GiaCuoc!$A$2:$C$501,3,FALSE()),"Kiểm tra mã")</f>
        <v>80000</v>
      </c>
    </row>
    <row r="298" customFormat="false" ht="15" hidden="false" customHeight="false" outlineLevel="0" collapsed="false">
      <c r="A298" s="7" t="s">
        <v>164</v>
      </c>
      <c r="B298" s="7" t="s">
        <v>538</v>
      </c>
      <c r="C298" s="7" t="s">
        <v>529</v>
      </c>
      <c r="D298" s="9" t="n">
        <f aca="false">IFERROR(VLOOKUP(TRIM(CLEAN(SUBSTITUTE(A298,_xlfn.UNICHAR(160),""))),GiaCuoc!$A$2:$C$501,3,FALSE()),"Kiểm tra mã")</f>
        <v>35000</v>
      </c>
    </row>
    <row r="299" customFormat="false" ht="15" hidden="false" customHeight="false" outlineLevel="0" collapsed="false">
      <c r="A299" s="7" t="s">
        <v>433</v>
      </c>
      <c r="B299" s="7" t="s">
        <v>540</v>
      </c>
      <c r="C299" s="7" t="s">
        <v>529</v>
      </c>
      <c r="D299" s="9" t="n">
        <f aca="false">IFERROR(VLOOKUP(TRIM(CLEAN(SUBSTITUTE(A299,_xlfn.UNICHAR(160),""))),GiaCuoc!$A$2:$C$501,3,FALSE()),"Kiểm tra mã")</f>
        <v>80000</v>
      </c>
    </row>
    <row r="300" customFormat="false" ht="15" hidden="false" customHeight="false" outlineLevel="0" collapsed="false">
      <c r="A300" s="7" t="s">
        <v>467</v>
      </c>
      <c r="B300" s="7" t="s">
        <v>528</v>
      </c>
      <c r="C300" s="7" t="s">
        <v>529</v>
      </c>
      <c r="D300" s="9" t="n">
        <f aca="false">IFERROR(VLOOKUP(TRIM(CLEAN(SUBSTITUTE(A300,_xlfn.UNICHAR(160),""))),GiaCuoc!$A$2:$C$501,3,FALSE()),"Kiểm tra mã")</f>
        <v>80000</v>
      </c>
    </row>
    <row r="301" customFormat="false" ht="15" hidden="false" customHeight="false" outlineLevel="0" collapsed="false">
      <c r="A301" s="7" t="s">
        <v>461</v>
      </c>
      <c r="B301" s="7" t="s">
        <v>543</v>
      </c>
      <c r="C301" s="7" t="s">
        <v>529</v>
      </c>
      <c r="D301" s="9" t="n">
        <f aca="false">IFERROR(VLOOKUP(TRIM(CLEAN(SUBSTITUTE(A301,_xlfn.UNICHAR(160),""))),GiaCuoc!$A$2:$C$501,3,FALSE()),"Kiểm tra mã")</f>
        <v>55000</v>
      </c>
    </row>
    <row r="302" customFormat="false" ht="15" hidden="false" customHeight="false" outlineLevel="0" collapsed="false">
      <c r="A302" s="7" t="s">
        <v>328</v>
      </c>
      <c r="B302" s="7" t="s">
        <v>537</v>
      </c>
      <c r="C302" s="7" t="s">
        <v>536</v>
      </c>
      <c r="D302" s="9" t="n">
        <f aca="false">IFERROR(VLOOKUP(TRIM(CLEAN(SUBSTITUTE(A302,_xlfn.UNICHAR(160),""))),GiaCuoc!$A$2:$C$501,3,FALSE()),"Kiểm tra mã")</f>
        <v>55000</v>
      </c>
    </row>
    <row r="303" customFormat="false" ht="15" hidden="false" customHeight="false" outlineLevel="0" collapsed="false">
      <c r="A303" s="7" t="s">
        <v>222</v>
      </c>
      <c r="B303" s="7" t="s">
        <v>531</v>
      </c>
      <c r="C303" s="7" t="s">
        <v>529</v>
      </c>
      <c r="D303" s="9" t="n">
        <f aca="false">IFERROR(VLOOKUP(TRIM(CLEAN(SUBSTITUTE(A303,_xlfn.UNICHAR(160),""))),GiaCuoc!$A$2:$C$501,3,FALSE()),"Kiểm tra mã")</f>
        <v>35000</v>
      </c>
    </row>
    <row r="304" customFormat="false" ht="15" hidden="false" customHeight="false" outlineLevel="0" collapsed="false">
      <c r="A304" s="7" t="s">
        <v>237</v>
      </c>
      <c r="B304" s="7" t="s">
        <v>528</v>
      </c>
      <c r="C304" s="7" t="s">
        <v>529</v>
      </c>
      <c r="D304" s="9" t="n">
        <f aca="false">IFERROR(VLOOKUP(TRIM(CLEAN(SUBSTITUTE(A304,_xlfn.UNICHAR(160),""))),GiaCuoc!$A$2:$C$501,3,FALSE()),"Kiểm tra mã")</f>
        <v>80000</v>
      </c>
    </row>
    <row r="305" customFormat="false" ht="15" hidden="false" customHeight="false" outlineLevel="0" collapsed="false">
      <c r="A305" s="7" t="s">
        <v>36</v>
      </c>
      <c r="B305" s="7" t="s">
        <v>531</v>
      </c>
      <c r="C305" s="7" t="s">
        <v>536</v>
      </c>
      <c r="D305" s="9" t="n">
        <f aca="false">IFERROR(VLOOKUP(TRIM(CLEAN(SUBSTITUTE(A305,_xlfn.UNICHAR(160),""))),GiaCuoc!$A$2:$C$501,3,FALSE()),"Kiểm tra mã")</f>
        <v>25000</v>
      </c>
    </row>
    <row r="306" customFormat="false" ht="15" hidden="false" customHeight="false" outlineLevel="0" collapsed="false">
      <c r="A306" s="7" t="s">
        <v>129</v>
      </c>
      <c r="B306" s="7" t="s">
        <v>532</v>
      </c>
      <c r="C306" s="7" t="s">
        <v>536</v>
      </c>
      <c r="D306" s="9" t="n">
        <f aca="false">IFERROR(VLOOKUP(TRIM(CLEAN(SUBSTITUTE(A306,_xlfn.UNICHAR(160),""))),GiaCuoc!$A$2:$C$501,3,FALSE()),"Kiểm tra mã")</f>
        <v>80000</v>
      </c>
    </row>
    <row r="307" customFormat="false" ht="15" hidden="false" customHeight="false" outlineLevel="0" collapsed="false">
      <c r="A307" s="7" t="s">
        <v>317</v>
      </c>
      <c r="B307" s="7" t="s">
        <v>532</v>
      </c>
      <c r="C307" s="7" t="s">
        <v>536</v>
      </c>
      <c r="D307" s="9" t="n">
        <f aca="false">IFERROR(VLOOKUP(TRIM(CLEAN(SUBSTITUTE(A307,_xlfn.UNICHAR(160),""))),GiaCuoc!$A$2:$C$501,3,FALSE()),"Kiểm tra mã")</f>
        <v>35000</v>
      </c>
    </row>
    <row r="308" customFormat="false" ht="15" hidden="false" customHeight="false" outlineLevel="0" collapsed="false">
      <c r="A308" s="7" t="s">
        <v>158</v>
      </c>
      <c r="B308" s="7" t="s">
        <v>540</v>
      </c>
      <c r="C308" s="7" t="s">
        <v>529</v>
      </c>
      <c r="D308" s="9" t="n">
        <f aca="false">IFERROR(VLOOKUP(TRIM(CLEAN(SUBSTITUTE(A308,_xlfn.UNICHAR(160),""))),GiaCuoc!$A$2:$C$501,3,FALSE()),"Kiểm tra mã")</f>
        <v>80000</v>
      </c>
    </row>
    <row r="309" customFormat="false" ht="15" hidden="false" customHeight="false" outlineLevel="0" collapsed="false">
      <c r="A309" s="7" t="s">
        <v>214</v>
      </c>
      <c r="B309" s="7" t="s">
        <v>532</v>
      </c>
      <c r="C309" s="7" t="s">
        <v>529</v>
      </c>
      <c r="D309" s="9" t="n">
        <f aca="false">IFERROR(VLOOKUP(TRIM(CLEAN(SUBSTITUTE(A309,_xlfn.UNICHAR(160),""))),GiaCuoc!$A$2:$C$501,3,FALSE()),"Kiểm tra mã")</f>
        <v>35000</v>
      </c>
    </row>
    <row r="310" customFormat="false" ht="15" hidden="false" customHeight="false" outlineLevel="0" collapsed="false">
      <c r="A310" s="7" t="s">
        <v>363</v>
      </c>
      <c r="B310" s="7" t="s">
        <v>537</v>
      </c>
      <c r="C310" s="7" t="s">
        <v>530</v>
      </c>
      <c r="D310" s="9" t="n">
        <f aca="false">IFERROR(VLOOKUP(TRIM(CLEAN(SUBSTITUTE(A310,_xlfn.UNICHAR(160),""))),GiaCuoc!$A$2:$C$501,3,FALSE()),"Kiểm tra mã")</f>
        <v>25000</v>
      </c>
    </row>
    <row r="311" customFormat="false" ht="15" hidden="false" customHeight="false" outlineLevel="0" collapsed="false">
      <c r="A311" s="7" t="s">
        <v>189</v>
      </c>
      <c r="B311" s="7" t="s">
        <v>539</v>
      </c>
      <c r="C311" s="7" t="s">
        <v>536</v>
      </c>
      <c r="D311" s="9" t="n">
        <f aca="false">IFERROR(VLOOKUP(TRIM(CLEAN(SUBSTITUTE(A311,_xlfn.UNICHAR(160),""))),GiaCuoc!$A$2:$C$501,3,FALSE()),"Kiểm tra mã")</f>
        <v>25000</v>
      </c>
    </row>
    <row r="312" customFormat="false" ht="15" hidden="false" customHeight="false" outlineLevel="0" collapsed="false">
      <c r="A312" s="7" t="s">
        <v>382</v>
      </c>
      <c r="B312" s="7" t="s">
        <v>537</v>
      </c>
      <c r="C312" s="7" t="s">
        <v>536</v>
      </c>
      <c r="D312" s="9" t="n">
        <f aca="false">IFERROR(VLOOKUP(TRIM(CLEAN(SUBSTITUTE(A312,_xlfn.UNICHAR(160),""))),GiaCuoc!$A$2:$C$501,3,FALSE()),"Kiểm tra mã")</f>
        <v>25000</v>
      </c>
    </row>
    <row r="313" customFormat="false" ht="15" hidden="false" customHeight="false" outlineLevel="0" collapsed="false">
      <c r="A313" s="7" t="s">
        <v>310</v>
      </c>
      <c r="B313" s="7" t="s">
        <v>534</v>
      </c>
      <c r="C313" s="7" t="s">
        <v>530</v>
      </c>
      <c r="D313" s="9" t="n">
        <f aca="false">IFERROR(VLOOKUP(TRIM(CLEAN(SUBSTITUTE(A313,_xlfn.UNICHAR(160),""))),GiaCuoc!$A$2:$C$501,3,FALSE()),"Kiểm tra mã")</f>
        <v>55000</v>
      </c>
    </row>
    <row r="314" customFormat="false" ht="15" hidden="false" customHeight="false" outlineLevel="0" collapsed="false">
      <c r="A314" s="7" t="s">
        <v>493</v>
      </c>
      <c r="B314" s="7" t="s">
        <v>539</v>
      </c>
      <c r="C314" s="7" t="s">
        <v>529</v>
      </c>
      <c r="D314" s="9" t="n">
        <f aca="false">IFERROR(VLOOKUP(TRIM(CLEAN(SUBSTITUTE(A314,_xlfn.UNICHAR(160),""))),GiaCuoc!$A$2:$C$501,3,FALSE()),"Kiểm tra mã")</f>
        <v>25000</v>
      </c>
    </row>
    <row r="315" customFormat="false" ht="15" hidden="false" customHeight="false" outlineLevel="0" collapsed="false">
      <c r="A315" s="7" t="s">
        <v>115</v>
      </c>
      <c r="B315" s="7" t="s">
        <v>543</v>
      </c>
      <c r="C315" s="7" t="s">
        <v>536</v>
      </c>
      <c r="D315" s="9" t="n">
        <f aca="false">IFERROR(VLOOKUP(TRIM(CLEAN(SUBSTITUTE(A315,_xlfn.UNICHAR(160),""))),GiaCuoc!$A$2:$C$501,3,FALSE()),"Kiểm tra mã")</f>
        <v>55000</v>
      </c>
    </row>
    <row r="316" customFormat="false" ht="15" hidden="false" customHeight="false" outlineLevel="0" collapsed="false">
      <c r="A316" s="7" t="s">
        <v>464</v>
      </c>
      <c r="B316" s="7" t="s">
        <v>528</v>
      </c>
      <c r="C316" s="7" t="s">
        <v>530</v>
      </c>
      <c r="D316" s="9" t="n">
        <f aca="false">IFERROR(VLOOKUP(TRIM(CLEAN(SUBSTITUTE(A316,_xlfn.UNICHAR(160),""))),GiaCuoc!$A$2:$C$501,3,FALSE()),"Kiểm tra mã")</f>
        <v>35000</v>
      </c>
    </row>
    <row r="317" customFormat="false" ht="15" hidden="false" customHeight="false" outlineLevel="0" collapsed="false">
      <c r="A317" s="7" t="s">
        <v>150</v>
      </c>
      <c r="B317" s="7" t="s">
        <v>534</v>
      </c>
      <c r="C317" s="7" t="s">
        <v>529</v>
      </c>
      <c r="D317" s="9" t="n">
        <f aca="false">IFERROR(VLOOKUP(TRIM(CLEAN(SUBSTITUTE(A317,_xlfn.UNICHAR(160),""))),GiaCuoc!$A$2:$C$501,3,FALSE()),"Kiểm tra mã")</f>
        <v>25000</v>
      </c>
    </row>
    <row r="318" customFormat="false" ht="15" hidden="false" customHeight="false" outlineLevel="0" collapsed="false">
      <c r="A318" s="7" t="s">
        <v>124</v>
      </c>
      <c r="B318" s="7" t="s">
        <v>528</v>
      </c>
      <c r="C318" s="7" t="s">
        <v>536</v>
      </c>
      <c r="D318" s="9" t="n">
        <f aca="false">IFERROR(VLOOKUP(TRIM(CLEAN(SUBSTITUTE(A318,_xlfn.UNICHAR(160),""))),GiaCuoc!$A$2:$C$501,3,FALSE()),"Kiểm tra mã")</f>
        <v>80000</v>
      </c>
    </row>
    <row r="319" customFormat="false" ht="15" hidden="false" customHeight="false" outlineLevel="0" collapsed="false">
      <c r="A319" s="7" t="s">
        <v>306</v>
      </c>
      <c r="B319" s="7" t="s">
        <v>528</v>
      </c>
      <c r="C319" s="7" t="s">
        <v>529</v>
      </c>
      <c r="D319" s="9" t="n">
        <f aca="false">IFERROR(VLOOKUP(TRIM(CLEAN(SUBSTITUTE(A319,_xlfn.UNICHAR(160),""))),GiaCuoc!$A$2:$C$501,3,FALSE()),"Kiểm tra mã")</f>
        <v>25000</v>
      </c>
    </row>
    <row r="320" customFormat="false" ht="15" hidden="false" customHeight="false" outlineLevel="0" collapsed="false">
      <c r="A320" s="7" t="s">
        <v>97</v>
      </c>
      <c r="B320" s="7" t="s">
        <v>543</v>
      </c>
      <c r="C320" s="7" t="s">
        <v>536</v>
      </c>
      <c r="D320" s="9" t="n">
        <f aca="false">IFERROR(VLOOKUP(TRIM(CLEAN(SUBSTITUTE(A320,_xlfn.UNICHAR(160),""))),GiaCuoc!$A$2:$C$501,3,FALSE()),"Kiểm tra mã")</f>
        <v>25000</v>
      </c>
    </row>
    <row r="321" customFormat="false" ht="15" hidden="false" customHeight="false" outlineLevel="0" collapsed="false">
      <c r="A321" s="7" t="s">
        <v>244</v>
      </c>
      <c r="B321" s="7" t="s">
        <v>532</v>
      </c>
      <c r="C321" s="7" t="s">
        <v>530</v>
      </c>
      <c r="D321" s="9" t="n">
        <f aca="false">IFERROR(VLOOKUP(TRIM(CLEAN(SUBSTITUTE(A321,_xlfn.UNICHAR(160),""))),GiaCuoc!$A$2:$C$501,3,FALSE()),"Kiểm tra mã")</f>
        <v>35000</v>
      </c>
    </row>
    <row r="322" customFormat="false" ht="15" hidden="false" customHeight="false" outlineLevel="0" collapsed="false">
      <c r="A322" s="7" t="s">
        <v>383</v>
      </c>
      <c r="B322" s="7" t="s">
        <v>531</v>
      </c>
      <c r="C322" s="7" t="s">
        <v>530</v>
      </c>
      <c r="D322" s="9" t="n">
        <f aca="false">IFERROR(VLOOKUP(TRIM(CLEAN(SUBSTITUTE(A322,_xlfn.UNICHAR(160),""))),GiaCuoc!$A$2:$C$501,3,FALSE()),"Kiểm tra mã")</f>
        <v>55000</v>
      </c>
    </row>
    <row r="323" customFormat="false" ht="15" hidden="false" customHeight="false" outlineLevel="0" collapsed="false">
      <c r="A323" s="7" t="s">
        <v>196</v>
      </c>
      <c r="B323" s="7" t="s">
        <v>534</v>
      </c>
      <c r="C323" s="7" t="s">
        <v>536</v>
      </c>
      <c r="D323" s="9" t="n">
        <f aca="false">IFERROR(VLOOKUP(TRIM(CLEAN(SUBSTITUTE(A323,_xlfn.UNICHAR(160),""))),GiaCuoc!$A$2:$C$501,3,FALSE()),"Kiểm tra mã")</f>
        <v>25000</v>
      </c>
    </row>
    <row r="324" customFormat="false" ht="15" hidden="false" customHeight="false" outlineLevel="0" collapsed="false">
      <c r="A324" s="7" t="s">
        <v>257</v>
      </c>
      <c r="B324" s="7" t="s">
        <v>537</v>
      </c>
      <c r="C324" s="7" t="s">
        <v>529</v>
      </c>
      <c r="D324" s="9" t="n">
        <f aca="false">IFERROR(VLOOKUP(TRIM(CLEAN(SUBSTITUTE(A324,_xlfn.UNICHAR(160),""))),GiaCuoc!$A$2:$C$501,3,FALSE()),"Kiểm tra mã")</f>
        <v>80000</v>
      </c>
    </row>
    <row r="325" customFormat="false" ht="15" hidden="false" customHeight="false" outlineLevel="0" collapsed="false">
      <c r="A325" s="7" t="s">
        <v>138</v>
      </c>
      <c r="B325" s="7" t="s">
        <v>531</v>
      </c>
      <c r="C325" s="7" t="s">
        <v>530</v>
      </c>
      <c r="D325" s="9" t="n">
        <f aca="false">IFERROR(VLOOKUP(TRIM(CLEAN(SUBSTITUTE(A325,_xlfn.UNICHAR(160),""))),GiaCuoc!$A$2:$C$501,3,FALSE()),"Kiểm tra mã")</f>
        <v>35000</v>
      </c>
    </row>
    <row r="326" customFormat="false" ht="15" hidden="false" customHeight="false" outlineLevel="0" collapsed="false">
      <c r="A326" s="7" t="s">
        <v>522</v>
      </c>
      <c r="B326" s="7" t="s">
        <v>534</v>
      </c>
      <c r="C326" s="7" t="s">
        <v>530</v>
      </c>
      <c r="D326" s="9" t="n">
        <f aca="false">IFERROR(VLOOKUP(TRIM(CLEAN(SUBSTITUTE(A326,_xlfn.UNICHAR(160),""))),GiaCuoc!$A$2:$C$501,3,FALSE()),"Kiểm tra mã")</f>
        <v>35000</v>
      </c>
    </row>
    <row r="327" customFormat="false" ht="15" hidden="false" customHeight="false" outlineLevel="0" collapsed="false">
      <c r="A327" s="7" t="s">
        <v>448</v>
      </c>
      <c r="B327" s="7" t="s">
        <v>543</v>
      </c>
      <c r="C327" s="7" t="s">
        <v>536</v>
      </c>
      <c r="D327" s="9" t="n">
        <f aca="false">IFERROR(VLOOKUP(TRIM(CLEAN(SUBSTITUTE(A327,_xlfn.UNICHAR(160),""))),GiaCuoc!$A$2:$C$501,3,FALSE()),"Kiểm tra mã")</f>
        <v>25000</v>
      </c>
    </row>
    <row r="328" customFormat="false" ht="15" hidden="false" customHeight="false" outlineLevel="0" collapsed="false">
      <c r="A328" s="7" t="s">
        <v>282</v>
      </c>
      <c r="B328" s="7" t="s">
        <v>538</v>
      </c>
      <c r="C328" s="7" t="s">
        <v>530</v>
      </c>
      <c r="D328" s="9" t="n">
        <f aca="false">IFERROR(VLOOKUP(TRIM(CLEAN(SUBSTITUTE(A328,_xlfn.UNICHAR(160),""))),GiaCuoc!$A$2:$C$501,3,FALSE()),"Kiểm tra mã")</f>
        <v>80000</v>
      </c>
    </row>
    <row r="329" customFormat="false" ht="15" hidden="false" customHeight="false" outlineLevel="0" collapsed="false">
      <c r="A329" s="7" t="s">
        <v>132</v>
      </c>
      <c r="B329" s="7" t="s">
        <v>538</v>
      </c>
      <c r="C329" s="7" t="s">
        <v>530</v>
      </c>
      <c r="D329" s="9" t="n">
        <f aca="false">IFERROR(VLOOKUP(TRIM(CLEAN(SUBSTITUTE(A329,_xlfn.UNICHAR(160),""))),GiaCuoc!$A$2:$C$501,3,FALSE()),"Kiểm tra mã")</f>
        <v>35000</v>
      </c>
    </row>
    <row r="330" customFormat="false" ht="15" hidden="false" customHeight="false" outlineLevel="0" collapsed="false">
      <c r="A330" s="7" t="s">
        <v>466</v>
      </c>
      <c r="B330" s="7" t="s">
        <v>535</v>
      </c>
      <c r="C330" s="7" t="s">
        <v>530</v>
      </c>
      <c r="D330" s="9" t="n">
        <f aca="false">IFERROR(VLOOKUP(TRIM(CLEAN(SUBSTITUTE(A330,_xlfn.UNICHAR(160),""))),GiaCuoc!$A$2:$C$501,3,FALSE()),"Kiểm tra mã")</f>
        <v>55000</v>
      </c>
    </row>
    <row r="331" customFormat="false" ht="15" hidden="false" customHeight="false" outlineLevel="0" collapsed="false">
      <c r="A331" s="7" t="s">
        <v>108</v>
      </c>
      <c r="B331" s="7" t="s">
        <v>531</v>
      </c>
      <c r="C331" s="7" t="s">
        <v>529</v>
      </c>
      <c r="D331" s="9" t="n">
        <f aca="false">IFERROR(VLOOKUP(TRIM(CLEAN(SUBSTITUTE(A331,_xlfn.UNICHAR(160),""))),GiaCuoc!$A$2:$C$501,3,FALSE()),"Kiểm tra mã")</f>
        <v>80000</v>
      </c>
    </row>
    <row r="332" customFormat="false" ht="15" hidden="false" customHeight="false" outlineLevel="0" collapsed="false">
      <c r="A332" s="7" t="s">
        <v>495</v>
      </c>
      <c r="B332" s="7" t="s">
        <v>543</v>
      </c>
      <c r="C332" s="7" t="s">
        <v>529</v>
      </c>
      <c r="D332" s="9" t="n">
        <f aca="false">IFERROR(VLOOKUP(TRIM(CLEAN(SUBSTITUTE(A332,_xlfn.UNICHAR(160),""))),GiaCuoc!$A$2:$C$501,3,FALSE()),"Kiểm tra mã")</f>
        <v>35000</v>
      </c>
    </row>
    <row r="333" customFormat="false" ht="15" hidden="false" customHeight="false" outlineLevel="0" collapsed="false">
      <c r="A333" s="7" t="s">
        <v>111</v>
      </c>
      <c r="B333" s="7" t="s">
        <v>543</v>
      </c>
      <c r="C333" s="7" t="s">
        <v>530</v>
      </c>
      <c r="D333" s="9" t="n">
        <f aca="false">IFERROR(VLOOKUP(TRIM(CLEAN(SUBSTITUTE(A333,_xlfn.UNICHAR(160),""))),GiaCuoc!$A$2:$C$501,3,FALSE()),"Kiểm tra mã")</f>
        <v>25000</v>
      </c>
    </row>
    <row r="334" customFormat="false" ht="15" hidden="false" customHeight="false" outlineLevel="0" collapsed="false">
      <c r="A334" s="7" t="s">
        <v>424</v>
      </c>
      <c r="B334" s="7" t="s">
        <v>538</v>
      </c>
      <c r="C334" s="7" t="s">
        <v>536</v>
      </c>
      <c r="D334" s="9" t="n">
        <f aca="false">IFERROR(VLOOKUP(TRIM(CLEAN(SUBSTITUTE(A334,_xlfn.UNICHAR(160),""))),GiaCuoc!$A$2:$C$501,3,FALSE()),"Kiểm tra mã")</f>
        <v>80000</v>
      </c>
    </row>
    <row r="335" customFormat="false" ht="15" hidden="false" customHeight="false" outlineLevel="0" collapsed="false">
      <c r="A335" s="7" t="s">
        <v>415</v>
      </c>
      <c r="B335" s="7" t="s">
        <v>538</v>
      </c>
      <c r="C335" s="7" t="s">
        <v>529</v>
      </c>
      <c r="D335" s="9" t="n">
        <f aca="false">IFERROR(VLOOKUP(TRIM(CLEAN(SUBSTITUTE(A335,_xlfn.UNICHAR(160),""))),GiaCuoc!$A$2:$C$501,3,FALSE()),"Kiểm tra mã")</f>
        <v>55000</v>
      </c>
    </row>
    <row r="336" customFormat="false" ht="15" hidden="false" customHeight="false" outlineLevel="0" collapsed="false">
      <c r="A336" s="7" t="s">
        <v>311</v>
      </c>
      <c r="B336" s="7" t="s">
        <v>528</v>
      </c>
      <c r="C336" s="7" t="s">
        <v>529</v>
      </c>
      <c r="D336" s="9" t="n">
        <f aca="false">IFERROR(VLOOKUP(TRIM(CLEAN(SUBSTITUTE(A336,_xlfn.UNICHAR(160),""))),GiaCuoc!$A$2:$C$501,3,FALSE()),"Kiểm tra mã")</f>
        <v>80000</v>
      </c>
    </row>
    <row r="337" customFormat="false" ht="15" hidden="false" customHeight="false" outlineLevel="0" collapsed="false">
      <c r="A337" s="7" t="s">
        <v>273</v>
      </c>
      <c r="B337" s="7" t="s">
        <v>539</v>
      </c>
      <c r="C337" s="7" t="s">
        <v>530</v>
      </c>
      <c r="D337" s="9" t="n">
        <f aca="false">IFERROR(VLOOKUP(TRIM(CLEAN(SUBSTITUTE(A337,_xlfn.UNICHAR(160),""))),GiaCuoc!$A$2:$C$501,3,FALSE()),"Kiểm tra mã")</f>
        <v>55000</v>
      </c>
    </row>
    <row r="338" customFormat="false" ht="15" hidden="false" customHeight="false" outlineLevel="0" collapsed="false">
      <c r="A338" s="7" t="s">
        <v>438</v>
      </c>
      <c r="B338" s="7" t="s">
        <v>540</v>
      </c>
      <c r="C338" s="7" t="s">
        <v>529</v>
      </c>
      <c r="D338" s="9" t="n">
        <f aca="false">IFERROR(VLOOKUP(TRIM(CLEAN(SUBSTITUTE(A338,_xlfn.UNICHAR(160),""))),GiaCuoc!$A$2:$C$501,3,FALSE()),"Kiểm tra mã")</f>
        <v>25000</v>
      </c>
    </row>
    <row r="339" customFormat="false" ht="15" hidden="false" customHeight="false" outlineLevel="0" collapsed="false">
      <c r="A339" s="7" t="s">
        <v>148</v>
      </c>
      <c r="B339" s="7" t="s">
        <v>535</v>
      </c>
      <c r="C339" s="7" t="s">
        <v>536</v>
      </c>
      <c r="D339" s="9" t="n">
        <f aca="false">IFERROR(VLOOKUP(TRIM(CLEAN(SUBSTITUTE(A339,_xlfn.UNICHAR(160),""))),GiaCuoc!$A$2:$C$501,3,FALSE()),"Kiểm tra mã")</f>
        <v>55000</v>
      </c>
    </row>
    <row r="340" customFormat="false" ht="15" hidden="false" customHeight="false" outlineLevel="0" collapsed="false">
      <c r="A340" s="7" t="s">
        <v>361</v>
      </c>
      <c r="B340" s="7" t="s">
        <v>528</v>
      </c>
      <c r="C340" s="7" t="s">
        <v>536</v>
      </c>
      <c r="D340" s="9" t="n">
        <f aca="false">IFERROR(VLOOKUP(TRIM(CLEAN(SUBSTITUTE(A340,_xlfn.UNICHAR(160),""))),GiaCuoc!$A$2:$C$501,3,FALSE()),"Kiểm tra mã")</f>
        <v>25000</v>
      </c>
    </row>
    <row r="341" customFormat="false" ht="15" hidden="false" customHeight="false" outlineLevel="0" collapsed="false">
      <c r="A341" s="7" t="s">
        <v>439</v>
      </c>
      <c r="B341" s="7" t="s">
        <v>543</v>
      </c>
      <c r="C341" s="7" t="s">
        <v>529</v>
      </c>
      <c r="D341" s="9" t="n">
        <f aca="false">IFERROR(VLOOKUP(TRIM(CLEAN(SUBSTITUTE(A341,_xlfn.UNICHAR(160),""))),GiaCuoc!$A$2:$C$501,3,FALSE()),"Kiểm tra mã")</f>
        <v>55000</v>
      </c>
    </row>
    <row r="342" customFormat="false" ht="15" hidden="false" customHeight="false" outlineLevel="0" collapsed="false">
      <c r="A342" s="7" t="s">
        <v>159</v>
      </c>
      <c r="B342" s="7" t="s">
        <v>540</v>
      </c>
      <c r="C342" s="7" t="s">
        <v>530</v>
      </c>
      <c r="D342" s="9" t="n">
        <f aca="false">IFERROR(VLOOKUP(TRIM(CLEAN(SUBSTITUTE(A342,_xlfn.UNICHAR(160),""))),GiaCuoc!$A$2:$C$501,3,FALSE()),"Kiểm tra mã")</f>
        <v>25000</v>
      </c>
    </row>
    <row r="343" customFormat="false" ht="15" hidden="false" customHeight="false" outlineLevel="0" collapsed="false">
      <c r="A343" s="7" t="s">
        <v>360</v>
      </c>
      <c r="B343" s="7" t="s">
        <v>543</v>
      </c>
      <c r="C343" s="7" t="s">
        <v>536</v>
      </c>
      <c r="D343" s="9" t="n">
        <f aca="false">IFERROR(VLOOKUP(TRIM(CLEAN(SUBSTITUTE(A343,_xlfn.UNICHAR(160),""))),GiaCuoc!$A$2:$C$501,3,FALSE()),"Kiểm tra mã")</f>
        <v>25000</v>
      </c>
    </row>
    <row r="344" customFormat="false" ht="15" hidden="false" customHeight="false" outlineLevel="0" collapsed="false">
      <c r="A344" s="7" t="s">
        <v>510</v>
      </c>
      <c r="B344" s="7" t="s">
        <v>535</v>
      </c>
      <c r="C344" s="7" t="s">
        <v>530</v>
      </c>
      <c r="D344" s="9" t="n">
        <f aca="false">IFERROR(VLOOKUP(TRIM(CLEAN(SUBSTITUTE(A344,_xlfn.UNICHAR(160),""))),GiaCuoc!$A$2:$C$501,3,FALSE()),"Kiểm tra mã")</f>
        <v>55000</v>
      </c>
    </row>
    <row r="345" customFormat="false" ht="15" hidden="false" customHeight="false" outlineLevel="0" collapsed="false">
      <c r="A345" s="7" t="s">
        <v>178</v>
      </c>
      <c r="B345" s="7" t="s">
        <v>528</v>
      </c>
      <c r="C345" s="7" t="s">
        <v>529</v>
      </c>
      <c r="D345" s="9" t="n">
        <f aca="false">IFERROR(VLOOKUP(TRIM(CLEAN(SUBSTITUTE(A345,_xlfn.UNICHAR(160),""))),GiaCuoc!$A$2:$C$501,3,FALSE()),"Kiểm tra mã")</f>
        <v>55000</v>
      </c>
    </row>
    <row r="346" customFormat="false" ht="15" hidden="false" customHeight="false" outlineLevel="0" collapsed="false">
      <c r="A346" s="7" t="s">
        <v>170</v>
      </c>
      <c r="B346" s="7" t="s">
        <v>532</v>
      </c>
      <c r="C346" s="7" t="s">
        <v>536</v>
      </c>
      <c r="D346" s="9" t="n">
        <f aca="false">IFERROR(VLOOKUP(TRIM(CLEAN(SUBSTITUTE(A346,_xlfn.UNICHAR(160),""))),GiaCuoc!$A$2:$C$501,3,FALSE()),"Kiểm tra mã")</f>
        <v>35000</v>
      </c>
    </row>
    <row r="347" customFormat="false" ht="15" hidden="false" customHeight="false" outlineLevel="0" collapsed="false">
      <c r="A347" s="7" t="s">
        <v>201</v>
      </c>
      <c r="B347" s="7" t="s">
        <v>535</v>
      </c>
      <c r="C347" s="7" t="s">
        <v>530</v>
      </c>
      <c r="D347" s="9" t="n">
        <f aca="false">IFERROR(VLOOKUP(TRIM(CLEAN(SUBSTITUTE(A347,_xlfn.UNICHAR(160),""))),GiaCuoc!$A$2:$C$501,3,FALSE()),"Kiểm tra mã")</f>
        <v>55000</v>
      </c>
    </row>
    <row r="348" customFormat="false" ht="15" hidden="false" customHeight="false" outlineLevel="0" collapsed="false">
      <c r="A348" s="7" t="s">
        <v>238</v>
      </c>
      <c r="B348" s="7" t="s">
        <v>532</v>
      </c>
      <c r="C348" s="7" t="s">
        <v>530</v>
      </c>
      <c r="D348" s="9" t="n">
        <f aca="false">IFERROR(VLOOKUP(TRIM(CLEAN(SUBSTITUTE(A348,_xlfn.UNICHAR(160),""))),GiaCuoc!$A$2:$C$501,3,FALSE()),"Kiểm tra mã")</f>
        <v>55000</v>
      </c>
    </row>
    <row r="349" customFormat="false" ht="15" hidden="false" customHeight="false" outlineLevel="0" collapsed="false">
      <c r="A349" s="7" t="s">
        <v>267</v>
      </c>
      <c r="B349" s="7" t="s">
        <v>531</v>
      </c>
      <c r="C349" s="7" t="s">
        <v>536</v>
      </c>
      <c r="D349" s="9" t="n">
        <f aca="false">IFERROR(VLOOKUP(TRIM(CLEAN(SUBSTITUTE(A349,_xlfn.UNICHAR(160),""))),GiaCuoc!$A$2:$C$501,3,FALSE()),"Kiểm tra mã")</f>
        <v>80000</v>
      </c>
    </row>
    <row r="350" customFormat="false" ht="15" hidden="false" customHeight="false" outlineLevel="0" collapsed="false">
      <c r="A350" s="7" t="s">
        <v>113</v>
      </c>
      <c r="B350" s="7" t="s">
        <v>538</v>
      </c>
      <c r="C350" s="7" t="s">
        <v>529</v>
      </c>
      <c r="D350" s="9" t="n">
        <f aca="false">IFERROR(VLOOKUP(TRIM(CLEAN(SUBSTITUTE(A350,_xlfn.UNICHAR(160),""))),GiaCuoc!$A$2:$C$501,3,FALSE()),"Kiểm tra mã")</f>
        <v>25000</v>
      </c>
    </row>
    <row r="351" customFormat="false" ht="15" hidden="false" customHeight="false" outlineLevel="0" collapsed="false">
      <c r="A351" s="7" t="s">
        <v>91</v>
      </c>
      <c r="B351" s="7" t="s">
        <v>535</v>
      </c>
      <c r="C351" s="7" t="s">
        <v>529</v>
      </c>
      <c r="D351" s="9" t="n">
        <f aca="false">IFERROR(VLOOKUP(TRIM(CLEAN(SUBSTITUTE(A351,_xlfn.UNICHAR(160),""))),GiaCuoc!$A$2:$C$501,3,FALSE()),"Kiểm tra mã")</f>
        <v>55000</v>
      </c>
    </row>
    <row r="352" customFormat="false" ht="15" hidden="false" customHeight="false" outlineLevel="0" collapsed="false">
      <c r="A352" s="7" t="s">
        <v>490</v>
      </c>
      <c r="B352" s="7" t="s">
        <v>543</v>
      </c>
      <c r="C352" s="7" t="s">
        <v>536</v>
      </c>
      <c r="D352" s="9" t="n">
        <f aca="false">IFERROR(VLOOKUP(TRIM(CLEAN(SUBSTITUTE(A352,_xlfn.UNICHAR(160),""))),GiaCuoc!$A$2:$C$501,3,FALSE()),"Kiểm tra mã")</f>
        <v>35000</v>
      </c>
    </row>
    <row r="353" customFormat="false" ht="15" hidden="false" customHeight="false" outlineLevel="0" collapsed="false">
      <c r="A353" s="7" t="s">
        <v>385</v>
      </c>
      <c r="B353" s="7" t="s">
        <v>538</v>
      </c>
      <c r="C353" s="7" t="s">
        <v>529</v>
      </c>
      <c r="D353" s="9" t="n">
        <f aca="false">IFERROR(VLOOKUP(TRIM(CLEAN(SUBSTITUTE(A353,_xlfn.UNICHAR(160),""))),GiaCuoc!$A$2:$C$501,3,FALSE()),"Kiểm tra mã")</f>
        <v>25000</v>
      </c>
    </row>
    <row r="354" customFormat="false" ht="15" hidden="false" customHeight="false" outlineLevel="0" collapsed="false">
      <c r="A354" s="7" t="s">
        <v>447</v>
      </c>
      <c r="B354" s="7" t="s">
        <v>528</v>
      </c>
      <c r="C354" s="7" t="s">
        <v>529</v>
      </c>
      <c r="D354" s="9" t="n">
        <f aca="false">IFERROR(VLOOKUP(TRIM(CLEAN(SUBSTITUTE(A354,_xlfn.UNICHAR(160),""))),GiaCuoc!$A$2:$C$501,3,FALSE()),"Kiểm tra mã")</f>
        <v>55000</v>
      </c>
    </row>
    <row r="355" customFormat="false" ht="15" hidden="false" customHeight="false" outlineLevel="0" collapsed="false">
      <c r="A355" s="7" t="s">
        <v>403</v>
      </c>
      <c r="B355" s="7" t="s">
        <v>531</v>
      </c>
      <c r="C355" s="7" t="s">
        <v>529</v>
      </c>
      <c r="D355" s="9" t="n">
        <f aca="false">IFERROR(VLOOKUP(TRIM(CLEAN(SUBSTITUTE(A355,_xlfn.UNICHAR(160),""))),GiaCuoc!$A$2:$C$501,3,FALSE()),"Kiểm tra mã")</f>
        <v>25000</v>
      </c>
    </row>
    <row r="356" customFormat="false" ht="15" hidden="false" customHeight="false" outlineLevel="0" collapsed="false">
      <c r="A356" s="7" t="s">
        <v>516</v>
      </c>
      <c r="B356" s="7" t="s">
        <v>535</v>
      </c>
      <c r="C356" s="7" t="s">
        <v>529</v>
      </c>
      <c r="D356" s="9" t="n">
        <f aca="false">IFERROR(VLOOKUP(TRIM(CLEAN(SUBSTITUTE(A356,_xlfn.UNICHAR(160),""))),GiaCuoc!$A$2:$C$501,3,FALSE()),"Kiểm tra mã")</f>
        <v>80000</v>
      </c>
    </row>
    <row r="357" customFormat="false" ht="15" hidden="false" customHeight="false" outlineLevel="0" collapsed="false">
      <c r="A357" s="7" t="s">
        <v>96</v>
      </c>
      <c r="B357" s="7" t="s">
        <v>539</v>
      </c>
      <c r="C357" s="7" t="s">
        <v>530</v>
      </c>
      <c r="D357" s="9" t="n">
        <f aca="false">IFERROR(VLOOKUP(TRIM(CLEAN(SUBSTITUTE(A357,_xlfn.UNICHAR(160),""))),GiaCuoc!$A$2:$C$501,3,FALSE()),"Kiểm tra mã")</f>
        <v>25000</v>
      </c>
    </row>
    <row r="358" customFormat="false" ht="15" hidden="false" customHeight="false" outlineLevel="0" collapsed="false">
      <c r="A358" s="7" t="s">
        <v>340</v>
      </c>
      <c r="B358" s="7" t="s">
        <v>532</v>
      </c>
      <c r="C358" s="7" t="s">
        <v>529</v>
      </c>
      <c r="D358" s="9" t="n">
        <f aca="false">IFERROR(VLOOKUP(TRIM(CLEAN(SUBSTITUTE(A358,_xlfn.UNICHAR(160),""))),GiaCuoc!$A$2:$C$501,3,FALSE()),"Kiểm tra mã")</f>
        <v>35000</v>
      </c>
    </row>
    <row r="359" customFormat="false" ht="15" hidden="false" customHeight="false" outlineLevel="0" collapsed="false">
      <c r="A359" s="7" t="s">
        <v>440</v>
      </c>
      <c r="B359" s="7" t="s">
        <v>537</v>
      </c>
      <c r="C359" s="7" t="s">
        <v>536</v>
      </c>
      <c r="D359" s="9" t="n">
        <f aca="false">IFERROR(VLOOKUP(TRIM(CLEAN(SUBSTITUTE(A359,_xlfn.UNICHAR(160),""))),GiaCuoc!$A$2:$C$501,3,FALSE()),"Kiểm tra mã")</f>
        <v>80000</v>
      </c>
    </row>
    <row r="360" customFormat="false" ht="15" hidden="false" customHeight="false" outlineLevel="0" collapsed="false">
      <c r="A360" s="7" t="s">
        <v>236</v>
      </c>
      <c r="B360" s="7" t="s">
        <v>531</v>
      </c>
      <c r="C360" s="7" t="s">
        <v>536</v>
      </c>
      <c r="D360" s="9" t="n">
        <f aca="false">IFERROR(VLOOKUP(TRIM(CLEAN(SUBSTITUTE(A360,_xlfn.UNICHAR(160),""))),GiaCuoc!$A$2:$C$501,3,FALSE()),"Kiểm tra mã")</f>
        <v>25000</v>
      </c>
    </row>
    <row r="361" customFormat="false" ht="15" hidden="false" customHeight="false" outlineLevel="0" collapsed="false">
      <c r="A361" s="7" t="s">
        <v>51</v>
      </c>
      <c r="B361" s="7" t="s">
        <v>534</v>
      </c>
      <c r="C361" s="7" t="s">
        <v>530</v>
      </c>
      <c r="D361" s="9" t="n">
        <f aca="false">IFERROR(VLOOKUP(TRIM(CLEAN(SUBSTITUTE(A361,_xlfn.UNICHAR(160),""))),GiaCuoc!$A$2:$C$501,3,FALSE()),"Kiểm tra mã")</f>
        <v>35000</v>
      </c>
    </row>
    <row r="362" customFormat="false" ht="15" hidden="false" customHeight="false" outlineLevel="0" collapsed="false">
      <c r="A362" s="7" t="s">
        <v>67</v>
      </c>
      <c r="B362" s="7" t="s">
        <v>535</v>
      </c>
      <c r="C362" s="7" t="s">
        <v>529</v>
      </c>
      <c r="D362" s="9" t="n">
        <f aca="false">IFERROR(VLOOKUP(TRIM(CLEAN(SUBSTITUTE(A362,_xlfn.UNICHAR(160),""))),GiaCuoc!$A$2:$C$501,3,FALSE()),"Kiểm tra mã")</f>
        <v>55000</v>
      </c>
    </row>
    <row r="363" customFormat="false" ht="15" hidden="false" customHeight="false" outlineLevel="0" collapsed="false">
      <c r="A363" s="7" t="s">
        <v>130</v>
      </c>
      <c r="B363" s="7" t="s">
        <v>538</v>
      </c>
      <c r="C363" s="7" t="s">
        <v>530</v>
      </c>
      <c r="D363" s="9" t="n">
        <f aca="false">IFERROR(VLOOKUP(TRIM(CLEAN(SUBSTITUTE(A363,_xlfn.UNICHAR(160),""))),GiaCuoc!$A$2:$C$501,3,FALSE()),"Kiểm tra mã")</f>
        <v>55000</v>
      </c>
    </row>
    <row r="364" customFormat="false" ht="15" hidden="false" customHeight="false" outlineLevel="0" collapsed="false">
      <c r="A364" s="7" t="s">
        <v>482</v>
      </c>
      <c r="B364" s="7" t="s">
        <v>543</v>
      </c>
      <c r="C364" s="7" t="s">
        <v>536</v>
      </c>
      <c r="D364" s="9" t="n">
        <f aca="false">IFERROR(VLOOKUP(TRIM(CLEAN(SUBSTITUTE(A364,_xlfn.UNICHAR(160),""))),GiaCuoc!$A$2:$C$501,3,FALSE()),"Kiểm tra mã")</f>
        <v>55000</v>
      </c>
    </row>
    <row r="365" customFormat="false" ht="15" hidden="false" customHeight="false" outlineLevel="0" collapsed="false">
      <c r="A365" s="7" t="s">
        <v>309</v>
      </c>
      <c r="B365" s="7" t="s">
        <v>528</v>
      </c>
      <c r="C365" s="7" t="s">
        <v>530</v>
      </c>
      <c r="D365" s="9" t="n">
        <f aca="false">IFERROR(VLOOKUP(TRIM(CLEAN(SUBSTITUTE(A365,_xlfn.UNICHAR(160),""))),GiaCuoc!$A$2:$C$501,3,FALSE()),"Kiểm tra mã")</f>
        <v>35000</v>
      </c>
    </row>
    <row r="366" customFormat="false" ht="15" hidden="false" customHeight="false" outlineLevel="0" collapsed="false">
      <c r="A366" s="7" t="s">
        <v>230</v>
      </c>
      <c r="B366" s="7" t="s">
        <v>528</v>
      </c>
      <c r="C366" s="7" t="s">
        <v>536</v>
      </c>
      <c r="D366" s="9" t="n">
        <f aca="false">IFERROR(VLOOKUP(TRIM(CLEAN(SUBSTITUTE(A366,_xlfn.UNICHAR(160),""))),GiaCuoc!$A$2:$C$501,3,FALSE()),"Kiểm tra mã")</f>
        <v>35000</v>
      </c>
    </row>
    <row r="367" customFormat="false" ht="15" hidden="false" customHeight="false" outlineLevel="0" collapsed="false">
      <c r="A367" s="7" t="s">
        <v>455</v>
      </c>
      <c r="B367" s="7" t="s">
        <v>534</v>
      </c>
      <c r="C367" s="7" t="s">
        <v>530</v>
      </c>
      <c r="D367" s="9" t="n">
        <f aca="false">IFERROR(VLOOKUP(TRIM(CLEAN(SUBSTITUTE(A367,_xlfn.UNICHAR(160),""))),GiaCuoc!$A$2:$C$501,3,FALSE()),"Kiểm tra mã")</f>
        <v>55000</v>
      </c>
    </row>
    <row r="368" customFormat="false" ht="15" hidden="false" customHeight="false" outlineLevel="0" collapsed="false">
      <c r="A368" s="7" t="s">
        <v>40</v>
      </c>
      <c r="B368" s="7" t="s">
        <v>532</v>
      </c>
      <c r="C368" s="7" t="s">
        <v>529</v>
      </c>
      <c r="D368" s="9" t="n">
        <f aca="false">IFERROR(VLOOKUP(TRIM(CLEAN(SUBSTITUTE(A368,_xlfn.UNICHAR(160),""))),GiaCuoc!$A$2:$C$501,3,FALSE()),"Kiểm tra mã")</f>
        <v>35000</v>
      </c>
    </row>
    <row r="369" customFormat="false" ht="15" hidden="false" customHeight="false" outlineLevel="0" collapsed="false">
      <c r="A369" s="7" t="s">
        <v>427</v>
      </c>
      <c r="B369" s="7" t="s">
        <v>537</v>
      </c>
      <c r="C369" s="7" t="s">
        <v>530</v>
      </c>
      <c r="D369" s="9" t="n">
        <f aca="false">IFERROR(VLOOKUP(TRIM(CLEAN(SUBSTITUTE(A369,_xlfn.UNICHAR(160),""))),GiaCuoc!$A$2:$C$501,3,FALSE()),"Kiểm tra mã")</f>
        <v>55000</v>
      </c>
    </row>
    <row r="370" customFormat="false" ht="15" hidden="false" customHeight="false" outlineLevel="0" collapsed="false">
      <c r="A370" s="7" t="s">
        <v>217</v>
      </c>
      <c r="B370" s="7" t="s">
        <v>539</v>
      </c>
      <c r="C370" s="7" t="s">
        <v>536</v>
      </c>
      <c r="D370" s="9" t="n">
        <f aca="false">IFERROR(VLOOKUP(TRIM(CLEAN(SUBSTITUTE(A370,_xlfn.UNICHAR(160),""))),GiaCuoc!$A$2:$C$501,3,FALSE()),"Kiểm tra mã")</f>
        <v>25000</v>
      </c>
    </row>
    <row r="371" customFormat="false" ht="15" hidden="false" customHeight="false" outlineLevel="0" collapsed="false">
      <c r="A371" s="7" t="s">
        <v>123</v>
      </c>
      <c r="B371" s="7" t="s">
        <v>540</v>
      </c>
      <c r="C371" s="7" t="s">
        <v>536</v>
      </c>
      <c r="D371" s="9" t="n">
        <f aca="false">IFERROR(VLOOKUP(TRIM(CLEAN(SUBSTITUTE(A371,_xlfn.UNICHAR(160),""))),GiaCuoc!$A$2:$C$501,3,FALSE()),"Kiểm tra mã")</f>
        <v>80000</v>
      </c>
    </row>
    <row r="372" customFormat="false" ht="15" hidden="false" customHeight="false" outlineLevel="0" collapsed="false">
      <c r="A372" s="7" t="s">
        <v>432</v>
      </c>
      <c r="B372" s="7" t="s">
        <v>534</v>
      </c>
      <c r="C372" s="7" t="s">
        <v>536</v>
      </c>
      <c r="D372" s="9" t="n">
        <f aca="false">IFERROR(VLOOKUP(TRIM(CLEAN(SUBSTITUTE(A372,_xlfn.UNICHAR(160),""))),GiaCuoc!$A$2:$C$501,3,FALSE()),"Kiểm tra mã")</f>
        <v>35000</v>
      </c>
    </row>
    <row r="373" customFormat="false" ht="15" hidden="false" customHeight="false" outlineLevel="0" collapsed="false">
      <c r="A373" s="7" t="s">
        <v>287</v>
      </c>
      <c r="B373" s="7" t="s">
        <v>534</v>
      </c>
      <c r="C373" s="7" t="s">
        <v>529</v>
      </c>
      <c r="D373" s="9" t="n">
        <f aca="false">IFERROR(VLOOKUP(TRIM(CLEAN(SUBSTITUTE(A373,_xlfn.UNICHAR(160),""))),GiaCuoc!$A$2:$C$501,3,FALSE()),"Kiểm tra mã")</f>
        <v>35000</v>
      </c>
    </row>
    <row r="374" customFormat="false" ht="15" hidden="false" customHeight="false" outlineLevel="0" collapsed="false">
      <c r="A374" s="7" t="s">
        <v>249</v>
      </c>
      <c r="B374" s="7" t="s">
        <v>539</v>
      </c>
      <c r="C374" s="7" t="s">
        <v>530</v>
      </c>
      <c r="D374" s="9" t="n">
        <f aca="false">IFERROR(VLOOKUP(TRIM(CLEAN(SUBSTITUTE(A374,_xlfn.UNICHAR(160),""))),GiaCuoc!$A$2:$C$501,3,FALSE()),"Kiểm tra mã")</f>
        <v>80000</v>
      </c>
    </row>
    <row r="375" customFormat="false" ht="15" hidden="false" customHeight="false" outlineLevel="0" collapsed="false">
      <c r="A375" s="7" t="s">
        <v>162</v>
      </c>
      <c r="B375" s="7" t="s">
        <v>531</v>
      </c>
      <c r="C375" s="7" t="s">
        <v>529</v>
      </c>
      <c r="D375" s="9" t="n">
        <f aca="false">IFERROR(VLOOKUP(TRIM(CLEAN(SUBSTITUTE(A375,_xlfn.UNICHAR(160),""))),GiaCuoc!$A$2:$C$501,3,FALSE()),"Kiểm tra mã")</f>
        <v>35000</v>
      </c>
    </row>
    <row r="376" customFormat="false" ht="15" hidden="false" customHeight="false" outlineLevel="0" collapsed="false">
      <c r="A376" s="7" t="s">
        <v>153</v>
      </c>
      <c r="B376" s="7" t="s">
        <v>537</v>
      </c>
      <c r="C376" s="7" t="s">
        <v>530</v>
      </c>
      <c r="D376" s="9" t="n">
        <f aca="false">IFERROR(VLOOKUP(TRIM(CLEAN(SUBSTITUTE(A376,_xlfn.UNICHAR(160),""))),GiaCuoc!$A$2:$C$501,3,FALSE()),"Kiểm tra mã")</f>
        <v>80000</v>
      </c>
    </row>
    <row r="377" customFormat="false" ht="15" hidden="false" customHeight="false" outlineLevel="0" collapsed="false">
      <c r="A377" s="7" t="s">
        <v>102</v>
      </c>
      <c r="B377" s="7" t="s">
        <v>532</v>
      </c>
      <c r="C377" s="7" t="s">
        <v>529</v>
      </c>
      <c r="D377" s="9" t="n">
        <f aca="false">IFERROR(VLOOKUP(TRIM(CLEAN(SUBSTITUTE(A377,_xlfn.UNICHAR(160),""))),GiaCuoc!$A$2:$C$501,3,FALSE()),"Kiểm tra mã")</f>
        <v>55000</v>
      </c>
    </row>
    <row r="378" customFormat="false" ht="15" hidden="false" customHeight="false" outlineLevel="0" collapsed="false">
      <c r="A378" s="7" t="s">
        <v>351</v>
      </c>
      <c r="B378" s="7" t="s">
        <v>540</v>
      </c>
      <c r="C378" s="7" t="s">
        <v>529</v>
      </c>
      <c r="D378" s="9" t="n">
        <f aca="false">IFERROR(VLOOKUP(TRIM(CLEAN(SUBSTITUTE(A378,_xlfn.UNICHAR(160),""))),GiaCuoc!$A$2:$C$501,3,FALSE()),"Kiểm tra mã")</f>
        <v>55000</v>
      </c>
    </row>
    <row r="379" customFormat="false" ht="15" hidden="false" customHeight="false" outlineLevel="0" collapsed="false">
      <c r="A379" s="7" t="s">
        <v>488</v>
      </c>
      <c r="B379" s="7" t="s">
        <v>543</v>
      </c>
      <c r="C379" s="7" t="s">
        <v>529</v>
      </c>
      <c r="D379" s="9" t="n">
        <f aca="false">IFERROR(VLOOKUP(TRIM(CLEAN(SUBSTITUTE(A379,_xlfn.UNICHAR(160),""))),GiaCuoc!$A$2:$C$501,3,FALSE()),"Kiểm tra mã")</f>
        <v>55000</v>
      </c>
    </row>
    <row r="380" customFormat="false" ht="15" hidden="false" customHeight="false" outlineLevel="0" collapsed="false">
      <c r="A380" s="7" t="s">
        <v>364</v>
      </c>
      <c r="B380" s="7" t="s">
        <v>535</v>
      </c>
      <c r="C380" s="7" t="s">
        <v>530</v>
      </c>
      <c r="D380" s="9" t="n">
        <f aca="false">IFERROR(VLOOKUP(TRIM(CLEAN(SUBSTITUTE(A380,_xlfn.UNICHAR(160),""))),GiaCuoc!$A$2:$C$501,3,FALSE()),"Kiểm tra mã")</f>
        <v>25000</v>
      </c>
    </row>
    <row r="381" customFormat="false" ht="15" hidden="false" customHeight="false" outlineLevel="0" collapsed="false">
      <c r="A381" s="7" t="s">
        <v>52</v>
      </c>
      <c r="B381" s="7" t="s">
        <v>540</v>
      </c>
      <c r="C381" s="7" t="s">
        <v>530</v>
      </c>
      <c r="D381" s="9" t="n">
        <f aca="false">IFERROR(VLOOKUP(TRIM(CLEAN(SUBSTITUTE(A381,_xlfn.UNICHAR(160),""))),GiaCuoc!$A$2:$C$501,3,FALSE()),"Kiểm tra mã")</f>
        <v>55000</v>
      </c>
    </row>
    <row r="382" customFormat="false" ht="15" hidden="false" customHeight="false" outlineLevel="0" collapsed="false">
      <c r="A382" s="7" t="s">
        <v>78</v>
      </c>
      <c r="B382" s="7" t="s">
        <v>535</v>
      </c>
      <c r="C382" s="7" t="s">
        <v>529</v>
      </c>
      <c r="D382" s="9" t="n">
        <f aca="false">IFERROR(VLOOKUP(TRIM(CLEAN(SUBSTITUTE(A382,_xlfn.UNICHAR(160),""))),GiaCuoc!$A$2:$C$501,3,FALSE()),"Kiểm tra mã")</f>
        <v>55000</v>
      </c>
    </row>
    <row r="383" customFormat="false" ht="15" hidden="false" customHeight="false" outlineLevel="0" collapsed="false">
      <c r="A383" s="7" t="s">
        <v>453</v>
      </c>
      <c r="B383" s="7" t="s">
        <v>534</v>
      </c>
      <c r="C383" s="7" t="s">
        <v>536</v>
      </c>
      <c r="D383" s="9" t="n">
        <f aca="false">IFERROR(VLOOKUP(TRIM(CLEAN(SUBSTITUTE(A383,_xlfn.UNICHAR(160),""))),GiaCuoc!$A$2:$C$501,3,FALSE()),"Kiểm tra mã")</f>
        <v>80000</v>
      </c>
    </row>
    <row r="384" customFormat="false" ht="15" hidden="false" customHeight="false" outlineLevel="0" collapsed="false">
      <c r="A384" s="7" t="s">
        <v>50</v>
      </c>
      <c r="B384" s="7" t="s">
        <v>543</v>
      </c>
      <c r="C384" s="7" t="s">
        <v>530</v>
      </c>
      <c r="D384" s="9" t="n">
        <f aca="false">IFERROR(VLOOKUP(TRIM(CLEAN(SUBSTITUTE(A384,_xlfn.UNICHAR(160),""))),GiaCuoc!$A$2:$C$501,3,FALSE()),"Kiểm tra mã")</f>
        <v>25000</v>
      </c>
    </row>
    <row r="385" customFormat="false" ht="15" hidden="false" customHeight="false" outlineLevel="0" collapsed="false">
      <c r="A385" s="7" t="s">
        <v>166</v>
      </c>
      <c r="B385" s="7" t="s">
        <v>528</v>
      </c>
      <c r="C385" s="7" t="s">
        <v>529</v>
      </c>
      <c r="D385" s="9" t="n">
        <f aca="false">IFERROR(VLOOKUP(TRIM(CLEAN(SUBSTITUTE(A385,_xlfn.UNICHAR(160),""))),GiaCuoc!$A$2:$C$501,3,FALSE()),"Kiểm tra mã")</f>
        <v>55000</v>
      </c>
    </row>
    <row r="386" customFormat="false" ht="15" hidden="false" customHeight="false" outlineLevel="0" collapsed="false">
      <c r="A386" s="7" t="s">
        <v>245</v>
      </c>
      <c r="B386" s="7" t="s">
        <v>535</v>
      </c>
      <c r="C386" s="7" t="s">
        <v>536</v>
      </c>
      <c r="D386" s="9" t="n">
        <f aca="false">IFERROR(VLOOKUP(TRIM(CLEAN(SUBSTITUTE(A386,_xlfn.UNICHAR(160),""))),GiaCuoc!$A$2:$C$501,3,FALSE()),"Kiểm tra mã")</f>
        <v>80000</v>
      </c>
    </row>
    <row r="387" customFormat="false" ht="15" hidden="false" customHeight="false" outlineLevel="0" collapsed="false">
      <c r="A387" s="7" t="s">
        <v>459</v>
      </c>
      <c r="B387" s="7" t="s">
        <v>528</v>
      </c>
      <c r="C387" s="7" t="s">
        <v>529</v>
      </c>
      <c r="D387" s="9" t="n">
        <f aca="false">IFERROR(VLOOKUP(TRIM(CLEAN(SUBSTITUTE(A387,_xlfn.UNICHAR(160),""))),GiaCuoc!$A$2:$C$501,3,FALSE()),"Kiểm tra mã")</f>
        <v>35000</v>
      </c>
    </row>
    <row r="388" customFormat="false" ht="15" hidden="false" customHeight="false" outlineLevel="0" collapsed="false">
      <c r="A388" s="7" t="s">
        <v>474</v>
      </c>
      <c r="B388" s="7" t="s">
        <v>539</v>
      </c>
      <c r="C388" s="7" t="s">
        <v>530</v>
      </c>
      <c r="D388" s="9" t="n">
        <f aca="false">IFERROR(VLOOKUP(TRIM(CLEAN(SUBSTITUTE(A388,_xlfn.UNICHAR(160),""))),GiaCuoc!$A$2:$C$501,3,FALSE()),"Kiểm tra mã")</f>
        <v>25000</v>
      </c>
    </row>
    <row r="389" customFormat="false" ht="15" hidden="false" customHeight="false" outlineLevel="0" collapsed="false">
      <c r="A389" s="7" t="s">
        <v>327</v>
      </c>
      <c r="B389" s="7" t="s">
        <v>531</v>
      </c>
      <c r="C389" s="7" t="s">
        <v>530</v>
      </c>
      <c r="D389" s="9" t="n">
        <f aca="false">IFERROR(VLOOKUP(TRIM(CLEAN(SUBSTITUTE(A389,_xlfn.UNICHAR(160),""))),GiaCuoc!$A$2:$C$501,3,FALSE()),"Kiểm tra mã")</f>
        <v>35000</v>
      </c>
    </row>
    <row r="390" customFormat="false" ht="15" hidden="false" customHeight="false" outlineLevel="0" collapsed="false">
      <c r="A390" s="7" t="s">
        <v>225</v>
      </c>
      <c r="B390" s="7" t="s">
        <v>538</v>
      </c>
      <c r="C390" s="7" t="s">
        <v>536</v>
      </c>
      <c r="D390" s="9" t="n">
        <f aca="false">IFERROR(VLOOKUP(TRIM(CLEAN(SUBSTITUTE(A390,_xlfn.UNICHAR(160),""))),GiaCuoc!$A$2:$C$501,3,FALSE()),"Kiểm tra mã")</f>
        <v>55000</v>
      </c>
    </row>
    <row r="391" customFormat="false" ht="15" hidden="false" customHeight="false" outlineLevel="0" collapsed="false">
      <c r="A391" s="7" t="s">
        <v>446</v>
      </c>
      <c r="B391" s="7" t="s">
        <v>528</v>
      </c>
      <c r="C391" s="7" t="s">
        <v>529</v>
      </c>
      <c r="D391" s="9" t="n">
        <f aca="false">IFERROR(VLOOKUP(TRIM(CLEAN(SUBSTITUTE(A391,_xlfn.UNICHAR(160),""))),GiaCuoc!$A$2:$C$501,3,FALSE()),"Kiểm tra mã")</f>
        <v>35000</v>
      </c>
    </row>
    <row r="392" customFormat="false" ht="15" hidden="false" customHeight="false" outlineLevel="0" collapsed="false">
      <c r="A392" s="7" t="s">
        <v>59</v>
      </c>
      <c r="B392" s="7" t="s">
        <v>537</v>
      </c>
      <c r="C392" s="7" t="s">
        <v>536</v>
      </c>
      <c r="D392" s="9" t="n">
        <f aca="false">IFERROR(VLOOKUP(TRIM(CLEAN(SUBSTITUTE(A392,_xlfn.UNICHAR(160),""))),GiaCuoc!$A$2:$C$501,3,FALSE()),"Kiểm tra mã")</f>
        <v>35000</v>
      </c>
    </row>
    <row r="393" customFormat="false" ht="15" hidden="false" customHeight="false" outlineLevel="0" collapsed="false">
      <c r="A393" s="7" t="s">
        <v>216</v>
      </c>
      <c r="B393" s="7" t="s">
        <v>528</v>
      </c>
      <c r="C393" s="7" t="s">
        <v>530</v>
      </c>
      <c r="D393" s="9" t="n">
        <f aca="false">IFERROR(VLOOKUP(TRIM(CLEAN(SUBSTITUTE(A393,_xlfn.UNICHAR(160),""))),GiaCuoc!$A$2:$C$501,3,FALSE()),"Kiểm tra mã")</f>
        <v>55000</v>
      </c>
    </row>
    <row r="394" customFormat="false" ht="15" hidden="false" customHeight="false" outlineLevel="0" collapsed="false">
      <c r="A394" s="7" t="s">
        <v>155</v>
      </c>
      <c r="B394" s="7" t="s">
        <v>534</v>
      </c>
      <c r="C394" s="7" t="s">
        <v>536</v>
      </c>
      <c r="D394" s="9" t="n">
        <f aca="false">IFERROR(VLOOKUP(TRIM(CLEAN(SUBSTITUTE(A394,_xlfn.UNICHAR(160),""))),GiaCuoc!$A$2:$C$501,3,FALSE()),"Kiểm tra mã")</f>
        <v>80000</v>
      </c>
    </row>
    <row r="395" customFormat="false" ht="15" hidden="false" customHeight="false" outlineLevel="0" collapsed="false">
      <c r="A395" s="7" t="s">
        <v>476</v>
      </c>
      <c r="B395" s="7" t="s">
        <v>535</v>
      </c>
      <c r="C395" s="7" t="s">
        <v>529</v>
      </c>
      <c r="D395" s="9" t="n">
        <f aca="false">IFERROR(VLOOKUP(TRIM(CLEAN(SUBSTITUTE(A395,_xlfn.UNICHAR(160),""))),GiaCuoc!$A$2:$C$501,3,FALSE()),"Kiểm tra mã")</f>
        <v>25000</v>
      </c>
    </row>
    <row r="396" customFormat="false" ht="15" hidden="false" customHeight="false" outlineLevel="0" collapsed="false">
      <c r="A396" s="7" t="s">
        <v>404</v>
      </c>
      <c r="B396" s="7" t="s">
        <v>543</v>
      </c>
      <c r="C396" s="7" t="s">
        <v>536</v>
      </c>
      <c r="D396" s="9" t="n">
        <f aca="false">IFERROR(VLOOKUP(TRIM(CLEAN(SUBSTITUTE(A396,_xlfn.UNICHAR(160),""))),GiaCuoc!$A$2:$C$501,3,FALSE()),"Kiểm tra mã")</f>
        <v>35000</v>
      </c>
    </row>
    <row r="397" customFormat="false" ht="15" hidden="false" customHeight="false" outlineLevel="0" collapsed="false">
      <c r="A397" s="7" t="s">
        <v>502</v>
      </c>
      <c r="B397" s="7" t="s">
        <v>531</v>
      </c>
      <c r="C397" s="7" t="s">
        <v>529</v>
      </c>
      <c r="D397" s="9" t="n">
        <f aca="false">IFERROR(VLOOKUP(TRIM(CLEAN(SUBSTITUTE(A397,_xlfn.UNICHAR(160),""))),GiaCuoc!$A$2:$C$501,3,FALSE()),"Kiểm tra mã")</f>
        <v>55000</v>
      </c>
    </row>
    <row r="398" customFormat="false" ht="15" hidden="false" customHeight="false" outlineLevel="0" collapsed="false">
      <c r="A398" s="7" t="s">
        <v>391</v>
      </c>
      <c r="B398" s="7" t="s">
        <v>534</v>
      </c>
      <c r="C398" s="7" t="s">
        <v>530</v>
      </c>
      <c r="D398" s="9" t="n">
        <f aca="false">IFERROR(VLOOKUP(TRIM(CLEAN(SUBSTITUTE(A398,_xlfn.UNICHAR(160),""))),GiaCuoc!$A$2:$C$501,3,FALSE()),"Kiểm tra mã")</f>
        <v>25000</v>
      </c>
    </row>
    <row r="399" customFormat="false" ht="15" hidden="false" customHeight="false" outlineLevel="0" collapsed="false">
      <c r="A399" s="7" t="s">
        <v>126</v>
      </c>
      <c r="B399" s="7" t="s">
        <v>543</v>
      </c>
      <c r="C399" s="7" t="s">
        <v>536</v>
      </c>
      <c r="D399" s="9" t="n">
        <f aca="false">IFERROR(VLOOKUP(TRIM(CLEAN(SUBSTITUTE(A399,_xlfn.UNICHAR(160),""))),GiaCuoc!$A$2:$C$501,3,FALSE()),"Kiểm tra mã")</f>
        <v>35000</v>
      </c>
    </row>
    <row r="400" customFormat="false" ht="15" hidden="false" customHeight="false" outlineLevel="0" collapsed="false">
      <c r="A400" s="7" t="s">
        <v>431</v>
      </c>
      <c r="B400" s="7" t="s">
        <v>535</v>
      </c>
      <c r="C400" s="7" t="s">
        <v>536</v>
      </c>
      <c r="D400" s="9" t="n">
        <f aca="false">IFERROR(VLOOKUP(TRIM(CLEAN(SUBSTITUTE(A400,_xlfn.UNICHAR(160),""))),GiaCuoc!$A$2:$C$501,3,FALSE()),"Kiểm tra mã")</f>
        <v>35000</v>
      </c>
    </row>
    <row r="401" customFormat="false" ht="15" hidden="false" customHeight="false" outlineLevel="0" collapsed="false">
      <c r="A401" s="7" t="s">
        <v>229</v>
      </c>
      <c r="B401" s="7" t="s">
        <v>543</v>
      </c>
      <c r="C401" s="7" t="s">
        <v>529</v>
      </c>
      <c r="D401" s="9" t="n">
        <f aca="false">IFERROR(VLOOKUP(TRIM(CLEAN(SUBSTITUTE(A401,_xlfn.UNICHAR(160),""))),GiaCuoc!$A$2:$C$501,3,FALSE()),"Kiểm tra mã")</f>
        <v>25000</v>
      </c>
    </row>
    <row r="402" customFormat="false" ht="15" hidden="false" customHeight="false" outlineLevel="0" collapsed="false">
      <c r="A402" s="7" t="s">
        <v>548</v>
      </c>
      <c r="B402" s="7" t="s">
        <v>531</v>
      </c>
      <c r="C402" s="7" t="s">
        <v>529</v>
      </c>
      <c r="D402" s="9" t="str">
        <f aca="false">IFERROR(VLOOKUP(TRIM(CLEAN(SUBSTITUTE(A402,_xlfn.UNICHAR(160),""))),GiaCuoc!$A$2:$C$501,3,FALSE()),"Kiểm tra mã")</f>
        <v>Kiểm tra mã</v>
      </c>
    </row>
    <row r="403" customFormat="false" ht="15" hidden="false" customHeight="false" outlineLevel="0" collapsed="false">
      <c r="A403" s="7" t="s">
        <v>410</v>
      </c>
      <c r="B403" s="7" t="s">
        <v>540</v>
      </c>
      <c r="C403" s="7" t="s">
        <v>536</v>
      </c>
      <c r="D403" s="9" t="n">
        <f aca="false">IFERROR(VLOOKUP(TRIM(CLEAN(SUBSTITUTE(A403,_xlfn.UNICHAR(160),""))),GiaCuoc!$A$2:$C$501,3,FALSE()),"Kiểm tra mã")</f>
        <v>80000</v>
      </c>
    </row>
    <row r="404" customFormat="false" ht="15" hidden="false" customHeight="false" outlineLevel="0" collapsed="false">
      <c r="A404" s="7" t="s">
        <v>192</v>
      </c>
      <c r="B404" s="7" t="s">
        <v>543</v>
      </c>
      <c r="C404" s="7" t="s">
        <v>529</v>
      </c>
      <c r="D404" s="9" t="n">
        <f aca="false">IFERROR(VLOOKUP(TRIM(CLEAN(SUBSTITUTE(A404,_xlfn.UNICHAR(160),""))),GiaCuoc!$A$2:$C$501,3,FALSE()),"Kiểm tra mã")</f>
        <v>55000</v>
      </c>
    </row>
    <row r="405" customFormat="false" ht="15" hidden="false" customHeight="false" outlineLevel="0" collapsed="false">
      <c r="A405" s="7" t="s">
        <v>22</v>
      </c>
      <c r="B405" s="7" t="s">
        <v>528</v>
      </c>
      <c r="C405" s="7" t="s">
        <v>536</v>
      </c>
      <c r="D405" s="9" t="n">
        <f aca="false">IFERROR(VLOOKUP(TRIM(CLEAN(SUBSTITUTE(A405,_xlfn.UNICHAR(160),""))),GiaCuoc!$A$2:$C$501,3,FALSE()),"Kiểm tra mã")</f>
        <v>55000</v>
      </c>
    </row>
    <row r="406" customFormat="false" ht="15" hidden="false" customHeight="false" outlineLevel="0" collapsed="false">
      <c r="A406" s="7" t="s">
        <v>511</v>
      </c>
      <c r="B406" s="7" t="s">
        <v>543</v>
      </c>
      <c r="C406" s="7" t="s">
        <v>529</v>
      </c>
      <c r="D406" s="9" t="n">
        <f aca="false">IFERROR(VLOOKUP(TRIM(CLEAN(SUBSTITUTE(A406,_xlfn.UNICHAR(160),""))),GiaCuoc!$A$2:$C$501,3,FALSE()),"Kiểm tra mã")</f>
        <v>25000</v>
      </c>
    </row>
    <row r="407" customFormat="false" ht="15" hidden="false" customHeight="false" outlineLevel="0" collapsed="false">
      <c r="A407" s="7" t="s">
        <v>87</v>
      </c>
      <c r="B407" s="7" t="s">
        <v>539</v>
      </c>
      <c r="C407" s="7" t="s">
        <v>529</v>
      </c>
      <c r="D407" s="9" t="n">
        <f aca="false">IFERROR(VLOOKUP(TRIM(CLEAN(SUBSTITUTE(A407,_xlfn.UNICHAR(160),""))),GiaCuoc!$A$2:$C$501,3,FALSE()),"Kiểm tra mã")</f>
        <v>80000</v>
      </c>
    </row>
    <row r="408" customFormat="false" ht="15" hidden="false" customHeight="false" outlineLevel="0" collapsed="false">
      <c r="A408" s="7" t="s">
        <v>187</v>
      </c>
      <c r="B408" s="7" t="s">
        <v>535</v>
      </c>
      <c r="C408" s="7" t="s">
        <v>536</v>
      </c>
      <c r="D408" s="9" t="n">
        <f aca="false">IFERROR(VLOOKUP(TRIM(CLEAN(SUBSTITUTE(A408,_xlfn.UNICHAR(160),""))),GiaCuoc!$A$2:$C$501,3,FALSE()),"Kiểm tra mã")</f>
        <v>80000</v>
      </c>
    </row>
    <row r="409" customFormat="false" ht="15" hidden="false" customHeight="false" outlineLevel="0" collapsed="false">
      <c r="A409" s="7" t="s">
        <v>218</v>
      </c>
      <c r="B409" s="7" t="s">
        <v>538</v>
      </c>
      <c r="C409" s="7" t="s">
        <v>536</v>
      </c>
      <c r="D409" s="9" t="n">
        <f aca="false">IFERROR(VLOOKUP(TRIM(CLEAN(SUBSTITUTE(A409,_xlfn.UNICHAR(160),""))),GiaCuoc!$A$2:$C$501,3,FALSE()),"Kiểm tra mã")</f>
        <v>25000</v>
      </c>
    </row>
    <row r="410" customFormat="false" ht="15" hidden="false" customHeight="false" outlineLevel="0" collapsed="false">
      <c r="A410" s="7" t="s">
        <v>202</v>
      </c>
      <c r="B410" s="7" t="s">
        <v>534</v>
      </c>
      <c r="C410" s="7" t="s">
        <v>530</v>
      </c>
      <c r="D410" s="9" t="n">
        <f aca="false">IFERROR(VLOOKUP(TRIM(CLEAN(SUBSTITUTE(A410,_xlfn.UNICHAR(160),""))),GiaCuoc!$A$2:$C$501,3,FALSE()),"Kiểm tra mã")</f>
        <v>25000</v>
      </c>
    </row>
    <row r="411" customFormat="false" ht="15" hidden="false" customHeight="false" outlineLevel="0" collapsed="false">
      <c r="A411" s="7" t="s">
        <v>239</v>
      </c>
      <c r="B411" s="7" t="s">
        <v>543</v>
      </c>
      <c r="C411" s="7" t="s">
        <v>529</v>
      </c>
      <c r="D411" s="9" t="n">
        <f aca="false">IFERROR(VLOOKUP(TRIM(CLEAN(SUBSTITUTE(A411,_xlfn.UNICHAR(160),""))),GiaCuoc!$A$2:$C$501,3,FALSE()),"Kiểm tra mã")</f>
        <v>25000</v>
      </c>
    </row>
    <row r="412" customFormat="false" ht="15" hidden="false" customHeight="false" outlineLevel="0" collapsed="false">
      <c r="A412" s="7" t="s">
        <v>463</v>
      </c>
      <c r="B412" s="7" t="s">
        <v>540</v>
      </c>
      <c r="C412" s="7" t="s">
        <v>530</v>
      </c>
      <c r="D412" s="9" t="n">
        <f aca="false">IFERROR(VLOOKUP(TRIM(CLEAN(SUBSTITUTE(A412,_xlfn.UNICHAR(160),""))),GiaCuoc!$A$2:$C$501,3,FALSE()),"Kiểm tra mã")</f>
        <v>55000</v>
      </c>
    </row>
    <row r="413" customFormat="false" ht="15" hidden="false" customHeight="false" outlineLevel="0" collapsed="false">
      <c r="A413" s="7" t="s">
        <v>398</v>
      </c>
      <c r="B413" s="7" t="s">
        <v>532</v>
      </c>
      <c r="C413" s="7" t="s">
        <v>529</v>
      </c>
      <c r="D413" s="9" t="n">
        <f aca="false">IFERROR(VLOOKUP(TRIM(CLEAN(SUBSTITUTE(A413,_xlfn.UNICHAR(160),""))),GiaCuoc!$A$2:$C$501,3,FALSE()),"Kiểm tra mã")</f>
        <v>25000</v>
      </c>
    </row>
    <row r="414" customFormat="false" ht="15" hidden="false" customHeight="false" outlineLevel="0" collapsed="false">
      <c r="A414" s="7" t="s">
        <v>180</v>
      </c>
      <c r="B414" s="7" t="s">
        <v>531</v>
      </c>
      <c r="C414" s="7" t="s">
        <v>536</v>
      </c>
      <c r="D414" s="9" t="n">
        <f aca="false">IFERROR(VLOOKUP(TRIM(CLEAN(SUBSTITUTE(A414,_xlfn.UNICHAR(160),""))),GiaCuoc!$A$2:$C$501,3,FALSE()),"Kiểm tra mã")</f>
        <v>55000</v>
      </c>
    </row>
    <row r="415" customFormat="false" ht="15" hidden="false" customHeight="false" outlineLevel="0" collapsed="false">
      <c r="A415" s="7" t="s">
        <v>233</v>
      </c>
      <c r="B415" s="7" t="s">
        <v>534</v>
      </c>
      <c r="C415" s="7" t="s">
        <v>536</v>
      </c>
      <c r="D415" s="9" t="n">
        <f aca="false">IFERROR(VLOOKUP(TRIM(CLEAN(SUBSTITUTE(A415,_xlfn.UNICHAR(160),""))),GiaCuoc!$A$2:$C$501,3,FALSE()),"Kiểm tra mã")</f>
        <v>55000</v>
      </c>
    </row>
    <row r="416" customFormat="false" ht="15" hidden="false" customHeight="false" outlineLevel="0" collapsed="false">
      <c r="A416" s="7" t="s">
        <v>471</v>
      </c>
      <c r="B416" s="7" t="s">
        <v>532</v>
      </c>
      <c r="C416" s="7" t="s">
        <v>530</v>
      </c>
      <c r="D416" s="9" t="n">
        <f aca="false">IFERROR(VLOOKUP(TRIM(CLEAN(SUBSTITUTE(A416,_xlfn.UNICHAR(160),""))),GiaCuoc!$A$2:$C$501,3,FALSE()),"Kiểm tra mã")</f>
        <v>35000</v>
      </c>
    </row>
    <row r="417" customFormat="false" ht="15" hidden="false" customHeight="false" outlineLevel="0" collapsed="false">
      <c r="A417" s="7" t="s">
        <v>374</v>
      </c>
      <c r="B417" s="7" t="s">
        <v>540</v>
      </c>
      <c r="C417" s="7" t="s">
        <v>530</v>
      </c>
      <c r="D417" s="9" t="n">
        <f aca="false">IFERROR(VLOOKUP(TRIM(CLEAN(SUBSTITUTE(A417,_xlfn.UNICHAR(160),""))),GiaCuoc!$A$2:$C$501,3,FALSE()),"Kiểm tra mã")</f>
        <v>35000</v>
      </c>
    </row>
    <row r="418" customFormat="false" ht="15" hidden="false" customHeight="false" outlineLevel="0" collapsed="false">
      <c r="A418" s="7" t="s">
        <v>277</v>
      </c>
      <c r="B418" s="7" t="s">
        <v>538</v>
      </c>
      <c r="C418" s="7" t="s">
        <v>536</v>
      </c>
      <c r="D418" s="9" t="n">
        <f aca="false">IFERROR(VLOOKUP(TRIM(CLEAN(SUBSTITUTE(A418,_xlfn.UNICHAR(160),""))),GiaCuoc!$A$2:$C$501,3,FALSE()),"Kiểm tra mã")</f>
        <v>80000</v>
      </c>
    </row>
    <row r="419" customFormat="false" ht="15" hidden="false" customHeight="false" outlineLevel="0" collapsed="false">
      <c r="A419" s="7" t="s">
        <v>24</v>
      </c>
      <c r="B419" s="7" t="s">
        <v>543</v>
      </c>
      <c r="C419" s="7" t="s">
        <v>529</v>
      </c>
      <c r="D419" s="9" t="n">
        <f aca="false">IFERROR(VLOOKUP(TRIM(CLEAN(SUBSTITUTE(A419,_xlfn.UNICHAR(160),""))),GiaCuoc!$A$2:$C$501,3,FALSE()),"Kiểm tra mã")</f>
        <v>35000</v>
      </c>
    </row>
    <row r="420" customFormat="false" ht="15" hidden="false" customHeight="false" outlineLevel="0" collapsed="false">
      <c r="A420" s="7" t="s">
        <v>107</v>
      </c>
      <c r="B420" s="7" t="s">
        <v>532</v>
      </c>
      <c r="C420" s="7" t="s">
        <v>530</v>
      </c>
      <c r="D420" s="9" t="n">
        <f aca="false">IFERROR(VLOOKUP(TRIM(CLEAN(SUBSTITUTE(A420,_xlfn.UNICHAR(160),""))),GiaCuoc!$A$2:$C$501,3,FALSE()),"Kiểm tra mã")</f>
        <v>25000</v>
      </c>
    </row>
    <row r="421" customFormat="false" ht="15" hidden="false" customHeight="false" outlineLevel="0" collapsed="false">
      <c r="A421" s="7" t="s">
        <v>38</v>
      </c>
      <c r="B421" s="7" t="s">
        <v>532</v>
      </c>
      <c r="C421" s="7" t="s">
        <v>530</v>
      </c>
      <c r="D421" s="9" t="n">
        <f aca="false">IFERROR(VLOOKUP(TRIM(CLEAN(SUBSTITUTE(A421,_xlfn.UNICHAR(160),""))),GiaCuoc!$A$2:$C$501,3,FALSE()),"Kiểm tra mã")</f>
        <v>80000</v>
      </c>
    </row>
    <row r="422" customFormat="false" ht="15" hidden="false" customHeight="false" outlineLevel="0" collapsed="false">
      <c r="A422" s="7" t="s">
        <v>227</v>
      </c>
      <c r="B422" s="7" t="s">
        <v>528</v>
      </c>
      <c r="C422" s="7" t="s">
        <v>530</v>
      </c>
      <c r="D422" s="9" t="n">
        <f aca="false">IFERROR(VLOOKUP(TRIM(CLEAN(SUBSTITUTE(A422,_xlfn.UNICHAR(160),""))),GiaCuoc!$A$2:$C$501,3,FALSE()),"Kiểm tra mã")</f>
        <v>25000</v>
      </c>
    </row>
    <row r="423" customFormat="false" ht="15" hidden="false" customHeight="false" outlineLevel="0" collapsed="false">
      <c r="A423" s="7" t="s">
        <v>499</v>
      </c>
      <c r="B423" s="7" t="s">
        <v>539</v>
      </c>
      <c r="C423" s="7" t="s">
        <v>529</v>
      </c>
      <c r="D423" s="9" t="n">
        <f aca="false">IFERROR(VLOOKUP(TRIM(CLEAN(SUBSTITUTE(A423,_xlfn.UNICHAR(160),""))),GiaCuoc!$A$2:$C$501,3,FALSE()),"Kiểm tra mã")</f>
        <v>25000</v>
      </c>
    </row>
    <row r="424" customFormat="false" ht="15" hidden="false" customHeight="false" outlineLevel="0" collapsed="false">
      <c r="A424" s="7" t="s">
        <v>280</v>
      </c>
      <c r="B424" s="7" t="s">
        <v>531</v>
      </c>
      <c r="C424" s="7" t="s">
        <v>530</v>
      </c>
      <c r="D424" s="9" t="n">
        <f aca="false">IFERROR(VLOOKUP(TRIM(CLEAN(SUBSTITUTE(A424,_xlfn.UNICHAR(160),""))),GiaCuoc!$A$2:$C$501,3,FALSE()),"Kiểm tra mã")</f>
        <v>55000</v>
      </c>
    </row>
    <row r="425" customFormat="false" ht="15" hidden="false" customHeight="false" outlineLevel="0" collapsed="false">
      <c r="A425" s="7" t="s">
        <v>144</v>
      </c>
      <c r="B425" s="7" t="s">
        <v>535</v>
      </c>
      <c r="C425" s="7" t="s">
        <v>536</v>
      </c>
      <c r="D425" s="9" t="n">
        <f aca="false">IFERROR(VLOOKUP(TRIM(CLEAN(SUBSTITUTE(A425,_xlfn.UNICHAR(160),""))),GiaCuoc!$A$2:$C$501,3,FALSE()),"Kiểm tra mã")</f>
        <v>25000</v>
      </c>
    </row>
    <row r="426" customFormat="false" ht="15" hidden="false" customHeight="false" outlineLevel="0" collapsed="false">
      <c r="A426" s="7" t="s">
        <v>212</v>
      </c>
      <c r="B426" s="7" t="s">
        <v>531</v>
      </c>
      <c r="C426" s="7" t="s">
        <v>536</v>
      </c>
      <c r="D426" s="9" t="n">
        <f aca="false">IFERROR(VLOOKUP(TRIM(CLEAN(SUBSTITUTE(A426,_xlfn.UNICHAR(160),""))),GiaCuoc!$A$2:$C$501,3,FALSE()),"Kiểm tra mã")</f>
        <v>80000</v>
      </c>
    </row>
    <row r="427" customFormat="false" ht="15" hidden="false" customHeight="false" outlineLevel="0" collapsed="false">
      <c r="A427" s="7" t="s">
        <v>386</v>
      </c>
      <c r="B427" s="7" t="s">
        <v>532</v>
      </c>
      <c r="C427" s="7" t="s">
        <v>530</v>
      </c>
      <c r="D427" s="9" t="n">
        <f aca="false">IFERROR(VLOOKUP(TRIM(CLEAN(SUBSTITUTE(A427,_xlfn.UNICHAR(160),""))),GiaCuoc!$A$2:$C$501,3,FALSE()),"Kiểm tra mã")</f>
        <v>55000</v>
      </c>
    </row>
    <row r="428" customFormat="false" ht="15" hidden="false" customHeight="false" outlineLevel="0" collapsed="false">
      <c r="A428" s="7" t="s">
        <v>83</v>
      </c>
      <c r="B428" s="7" t="s">
        <v>537</v>
      </c>
      <c r="C428" s="7" t="s">
        <v>536</v>
      </c>
      <c r="D428" s="9" t="n">
        <f aca="false">IFERROR(VLOOKUP(TRIM(CLEAN(SUBSTITUTE(A428,_xlfn.UNICHAR(160),""))),GiaCuoc!$A$2:$C$501,3,FALSE()),"Kiểm tra mã")</f>
        <v>80000</v>
      </c>
    </row>
    <row r="429" customFormat="false" ht="15" hidden="false" customHeight="false" outlineLevel="0" collapsed="false">
      <c r="A429" s="7" t="s">
        <v>169</v>
      </c>
      <c r="B429" s="7" t="s">
        <v>543</v>
      </c>
      <c r="C429" s="7" t="s">
        <v>530</v>
      </c>
      <c r="D429" s="9" t="n">
        <f aca="false">IFERROR(VLOOKUP(TRIM(CLEAN(SUBSTITUTE(A429,_xlfn.UNICHAR(160),""))),GiaCuoc!$A$2:$C$501,3,FALSE()),"Kiểm tra mã")</f>
        <v>25000</v>
      </c>
    </row>
    <row r="430" customFormat="false" ht="15" hidden="false" customHeight="false" outlineLevel="0" collapsed="false">
      <c r="A430" s="7" t="s">
        <v>286</v>
      </c>
      <c r="B430" s="7" t="s">
        <v>539</v>
      </c>
      <c r="C430" s="7" t="s">
        <v>536</v>
      </c>
      <c r="D430" s="9" t="n">
        <f aca="false">IFERROR(VLOOKUP(TRIM(CLEAN(SUBSTITUTE(A430,_xlfn.UNICHAR(160),""))),GiaCuoc!$A$2:$C$501,3,FALSE()),"Kiểm tra mã")</f>
        <v>80000</v>
      </c>
    </row>
    <row r="431" customFormat="false" ht="15" hidden="false" customHeight="false" outlineLevel="0" collapsed="false">
      <c r="A431" s="7" t="s">
        <v>517</v>
      </c>
      <c r="B431" s="7" t="s">
        <v>528</v>
      </c>
      <c r="C431" s="7" t="s">
        <v>536</v>
      </c>
      <c r="D431" s="9" t="n">
        <f aca="false">IFERROR(VLOOKUP(TRIM(CLEAN(SUBSTITUTE(A431,_xlfn.UNICHAR(160),""))),GiaCuoc!$A$2:$C$501,3,FALSE()),"Kiểm tra mã")</f>
        <v>55000</v>
      </c>
    </row>
    <row r="432" customFormat="false" ht="15" hidden="false" customHeight="false" outlineLevel="0" collapsed="false">
      <c r="A432" s="7" t="s">
        <v>473</v>
      </c>
      <c r="B432" s="7" t="s">
        <v>538</v>
      </c>
      <c r="C432" s="7" t="s">
        <v>536</v>
      </c>
      <c r="D432" s="9" t="n">
        <f aca="false">IFERROR(VLOOKUP(TRIM(CLEAN(SUBSTITUTE(A432,_xlfn.UNICHAR(160),""))),GiaCuoc!$A$2:$C$501,3,FALSE()),"Kiểm tra mã")</f>
        <v>25000</v>
      </c>
    </row>
    <row r="433" customFormat="false" ht="15" hidden="false" customHeight="false" outlineLevel="0" collapsed="false">
      <c r="A433" s="7" t="s">
        <v>334</v>
      </c>
      <c r="B433" s="7" t="s">
        <v>539</v>
      </c>
      <c r="C433" s="7" t="s">
        <v>536</v>
      </c>
      <c r="D433" s="9" t="n">
        <f aca="false">IFERROR(VLOOKUP(TRIM(CLEAN(SUBSTITUTE(A433,_xlfn.UNICHAR(160),""))),GiaCuoc!$A$2:$C$501,3,FALSE()),"Kiểm tra mã")</f>
        <v>35000</v>
      </c>
    </row>
    <row r="434" customFormat="false" ht="15" hidden="false" customHeight="false" outlineLevel="0" collapsed="false">
      <c r="A434" s="7" t="s">
        <v>93</v>
      </c>
      <c r="B434" s="7" t="s">
        <v>538</v>
      </c>
      <c r="C434" s="7" t="s">
        <v>536</v>
      </c>
      <c r="D434" s="9" t="n">
        <f aca="false">IFERROR(VLOOKUP(TRIM(CLEAN(SUBSTITUTE(A434,_xlfn.UNICHAR(160),""))),GiaCuoc!$A$2:$C$501,3,FALSE()),"Kiểm tra mã")</f>
        <v>55000</v>
      </c>
    </row>
    <row r="435" customFormat="false" ht="15" hidden="false" customHeight="false" outlineLevel="0" collapsed="false">
      <c r="A435" s="7" t="s">
        <v>210</v>
      </c>
      <c r="B435" s="7" t="s">
        <v>538</v>
      </c>
      <c r="C435" s="7" t="s">
        <v>529</v>
      </c>
      <c r="D435" s="9" t="n">
        <f aca="false">IFERROR(VLOOKUP(TRIM(CLEAN(SUBSTITUTE(A435,_xlfn.UNICHAR(160),""))),GiaCuoc!$A$2:$C$501,3,FALSE()),"Kiểm tra mã")</f>
        <v>35000</v>
      </c>
    </row>
    <row r="436" customFormat="false" ht="15" hidden="false" customHeight="false" outlineLevel="0" collapsed="false">
      <c r="A436" s="7" t="s">
        <v>160</v>
      </c>
      <c r="B436" s="7" t="s">
        <v>535</v>
      </c>
      <c r="C436" s="7" t="s">
        <v>530</v>
      </c>
      <c r="D436" s="9" t="n">
        <f aca="false">IFERROR(VLOOKUP(TRIM(CLEAN(SUBSTITUTE(A436,_xlfn.UNICHAR(160),""))),GiaCuoc!$A$2:$C$501,3,FALSE()),"Kiểm tra mã")</f>
        <v>35000</v>
      </c>
    </row>
    <row r="437" customFormat="false" ht="15" hidden="false" customHeight="false" outlineLevel="0" collapsed="false">
      <c r="A437" s="7" t="s">
        <v>294</v>
      </c>
      <c r="B437" s="7" t="s">
        <v>531</v>
      </c>
      <c r="C437" s="7" t="s">
        <v>529</v>
      </c>
      <c r="D437" s="9" t="n">
        <f aca="false">IFERROR(VLOOKUP(TRIM(CLEAN(SUBSTITUTE(A437,_xlfn.UNICHAR(160),""))),GiaCuoc!$A$2:$C$501,3,FALSE()),"Kiểm tra mã")</f>
        <v>25000</v>
      </c>
    </row>
    <row r="438" customFormat="false" ht="15" hidden="false" customHeight="false" outlineLevel="0" collapsed="false">
      <c r="A438" s="7" t="s">
        <v>408</v>
      </c>
      <c r="B438" s="7" t="s">
        <v>539</v>
      </c>
      <c r="C438" s="7" t="s">
        <v>536</v>
      </c>
      <c r="D438" s="9" t="n">
        <f aca="false">IFERROR(VLOOKUP(TRIM(CLEAN(SUBSTITUTE(A438,_xlfn.UNICHAR(160),""))),GiaCuoc!$A$2:$C$501,3,FALSE()),"Kiểm tra mã")</f>
        <v>35000</v>
      </c>
    </row>
    <row r="439" customFormat="false" ht="15" hidden="false" customHeight="false" outlineLevel="0" collapsed="false">
      <c r="A439" s="7" t="s">
        <v>98</v>
      </c>
      <c r="B439" s="7" t="s">
        <v>540</v>
      </c>
      <c r="C439" s="7" t="s">
        <v>529</v>
      </c>
      <c r="D439" s="9" t="n">
        <f aca="false">IFERROR(VLOOKUP(TRIM(CLEAN(SUBSTITUTE(A439,_xlfn.UNICHAR(160),""))),GiaCuoc!$A$2:$C$501,3,FALSE()),"Kiểm tra mã")</f>
        <v>55000</v>
      </c>
    </row>
    <row r="440" customFormat="false" ht="15" hidden="false" customHeight="false" outlineLevel="0" collapsed="false">
      <c r="A440" s="7" t="s">
        <v>72</v>
      </c>
      <c r="B440" s="7" t="s">
        <v>539</v>
      </c>
      <c r="C440" s="7" t="s">
        <v>530</v>
      </c>
      <c r="D440" s="9" t="n">
        <f aca="false">IFERROR(VLOOKUP(TRIM(CLEAN(SUBSTITUTE(A440,_xlfn.UNICHAR(160),""))),GiaCuoc!$A$2:$C$501,3,FALSE()),"Kiểm tra mã")</f>
        <v>35000</v>
      </c>
    </row>
    <row r="441" customFormat="false" ht="15" hidden="false" customHeight="false" outlineLevel="0" collapsed="false">
      <c r="A441" s="7" t="s">
        <v>323</v>
      </c>
      <c r="B441" s="7" t="s">
        <v>539</v>
      </c>
      <c r="C441" s="7" t="s">
        <v>530</v>
      </c>
      <c r="D441" s="9" t="n">
        <f aca="false">IFERROR(VLOOKUP(TRIM(CLEAN(SUBSTITUTE(A441,_xlfn.UNICHAR(160),""))),GiaCuoc!$A$2:$C$501,3,FALSE()),"Kiểm tra mã")</f>
        <v>25000</v>
      </c>
    </row>
    <row r="442" customFormat="false" ht="15" hidden="false" customHeight="false" outlineLevel="0" collapsed="false">
      <c r="A442" s="7" t="s">
        <v>64</v>
      </c>
      <c r="B442" s="7" t="s">
        <v>539</v>
      </c>
      <c r="C442" s="7" t="s">
        <v>530</v>
      </c>
      <c r="D442" s="9" t="n">
        <f aca="false">IFERROR(VLOOKUP(TRIM(CLEAN(SUBSTITUTE(A442,_xlfn.UNICHAR(160),""))),GiaCuoc!$A$2:$C$501,3,FALSE()),"Kiểm tra mã")</f>
        <v>35000</v>
      </c>
    </row>
    <row r="443" customFormat="false" ht="15" hidden="false" customHeight="false" outlineLevel="0" collapsed="false">
      <c r="A443" s="7" t="s">
        <v>468</v>
      </c>
      <c r="B443" s="7" t="s">
        <v>537</v>
      </c>
      <c r="C443" s="7" t="s">
        <v>536</v>
      </c>
      <c r="D443" s="9" t="n">
        <f aca="false">IFERROR(VLOOKUP(TRIM(CLEAN(SUBSTITUTE(A443,_xlfn.UNICHAR(160),""))),GiaCuoc!$A$2:$C$501,3,FALSE()),"Kiểm tra mã")</f>
        <v>25000</v>
      </c>
    </row>
    <row r="444" customFormat="false" ht="15" hidden="false" customHeight="false" outlineLevel="0" collapsed="false">
      <c r="A444" s="7" t="s">
        <v>133</v>
      </c>
      <c r="B444" s="7" t="s">
        <v>540</v>
      </c>
      <c r="C444" s="7" t="s">
        <v>530</v>
      </c>
      <c r="D444" s="9" t="n">
        <f aca="false">IFERROR(VLOOKUP(TRIM(CLEAN(SUBSTITUTE(A444,_xlfn.UNICHAR(160),""))),GiaCuoc!$A$2:$C$501,3,FALSE()),"Kiểm tra mã")</f>
        <v>35000</v>
      </c>
    </row>
    <row r="445" customFormat="false" ht="15" hidden="false" customHeight="false" outlineLevel="0" collapsed="false">
      <c r="A445" s="7" t="s">
        <v>224</v>
      </c>
      <c r="B445" s="7" t="s">
        <v>534</v>
      </c>
      <c r="C445" s="7" t="s">
        <v>529</v>
      </c>
      <c r="D445" s="9" t="n">
        <f aca="false">IFERROR(VLOOKUP(TRIM(CLEAN(SUBSTITUTE(A445,_xlfn.UNICHAR(160),""))),GiaCuoc!$A$2:$C$501,3,FALSE()),"Kiểm tra mã")</f>
        <v>80000</v>
      </c>
    </row>
    <row r="446" customFormat="false" ht="15" hidden="false" customHeight="false" outlineLevel="0" collapsed="false">
      <c r="A446" s="7" t="s">
        <v>498</v>
      </c>
      <c r="B446" s="7" t="s">
        <v>532</v>
      </c>
      <c r="C446" s="7" t="s">
        <v>529</v>
      </c>
      <c r="D446" s="9" t="n">
        <f aca="false">IFERROR(VLOOKUP(TRIM(CLEAN(SUBSTITUTE(A446,_xlfn.UNICHAR(160),""))),GiaCuoc!$A$2:$C$501,3,FALSE()),"Kiểm tra mã")</f>
        <v>25000</v>
      </c>
    </row>
    <row r="447" customFormat="false" ht="15" hidden="false" customHeight="false" outlineLevel="0" collapsed="false">
      <c r="A447" s="7" t="s">
        <v>256</v>
      </c>
      <c r="B447" s="7" t="s">
        <v>543</v>
      </c>
      <c r="C447" s="7" t="s">
        <v>529</v>
      </c>
      <c r="D447" s="9" t="n">
        <f aca="false">IFERROR(VLOOKUP(TRIM(CLEAN(SUBSTITUTE(A447,_xlfn.UNICHAR(160),""))),GiaCuoc!$A$2:$C$501,3,FALSE()),"Kiểm tra mã")</f>
        <v>35000</v>
      </c>
    </row>
    <row r="448" customFormat="false" ht="15" hidden="false" customHeight="false" outlineLevel="0" collapsed="false">
      <c r="A448" s="7" t="s">
        <v>285</v>
      </c>
      <c r="B448" s="7" t="s">
        <v>534</v>
      </c>
      <c r="C448" s="7" t="s">
        <v>529</v>
      </c>
      <c r="D448" s="9" t="n">
        <f aca="false">IFERROR(VLOOKUP(TRIM(CLEAN(SUBSTITUTE(A448,_xlfn.UNICHAR(160),""))),GiaCuoc!$A$2:$C$501,3,FALSE()),"Kiểm tra mã")</f>
        <v>25000</v>
      </c>
    </row>
    <row r="449" customFormat="false" ht="15" hidden="false" customHeight="false" outlineLevel="0" collapsed="false">
      <c r="A449" s="7" t="s">
        <v>445</v>
      </c>
      <c r="B449" s="7" t="s">
        <v>535</v>
      </c>
      <c r="C449" s="7" t="s">
        <v>536</v>
      </c>
      <c r="D449" s="9" t="n">
        <f aca="false">IFERROR(VLOOKUP(TRIM(CLEAN(SUBSTITUTE(A449,_xlfn.UNICHAR(160),""))),GiaCuoc!$A$2:$C$501,3,FALSE()),"Kiểm tra mã")</f>
        <v>55000</v>
      </c>
    </row>
    <row r="450" customFormat="false" ht="15" hidden="false" customHeight="false" outlineLevel="0" collapsed="false">
      <c r="A450" s="7" t="s">
        <v>514</v>
      </c>
      <c r="B450" s="7" t="s">
        <v>538</v>
      </c>
      <c r="C450" s="7" t="s">
        <v>530</v>
      </c>
      <c r="D450" s="9" t="n">
        <f aca="false">IFERROR(VLOOKUP(TRIM(CLEAN(SUBSTITUTE(A450,_xlfn.UNICHAR(160),""))),GiaCuoc!$A$2:$C$501,3,FALSE()),"Kiểm tra mã")</f>
        <v>25000</v>
      </c>
    </row>
    <row r="451" customFormat="false" ht="15" hidden="false" customHeight="false" outlineLevel="0" collapsed="false">
      <c r="A451" s="7" t="s">
        <v>260</v>
      </c>
      <c r="B451" s="7" t="s">
        <v>534</v>
      </c>
      <c r="C451" s="7" t="s">
        <v>536</v>
      </c>
      <c r="D451" s="9" t="n">
        <f aca="false">IFERROR(VLOOKUP(TRIM(CLEAN(SUBSTITUTE(A451,_xlfn.UNICHAR(160),""))),GiaCuoc!$A$2:$C$501,3,FALSE()),"Kiểm tra mã")</f>
        <v>55000</v>
      </c>
    </row>
    <row r="452" customFormat="false" ht="15" hidden="false" customHeight="false" outlineLevel="0" collapsed="false">
      <c r="A452" s="7" t="s">
        <v>491</v>
      </c>
      <c r="B452" s="7" t="s">
        <v>540</v>
      </c>
      <c r="C452" s="7" t="s">
        <v>530</v>
      </c>
      <c r="D452" s="9" t="n">
        <f aca="false">IFERROR(VLOOKUP(TRIM(CLEAN(SUBSTITUTE(A452,_xlfn.UNICHAR(160),""))),GiaCuoc!$A$2:$C$501,3,FALSE()),"Kiểm tra mã")</f>
        <v>55000</v>
      </c>
    </row>
    <row r="453" customFormat="false" ht="15" hidden="false" customHeight="false" outlineLevel="0" collapsed="false">
      <c r="A453" s="7" t="s">
        <v>34</v>
      </c>
      <c r="B453" s="7" t="s">
        <v>532</v>
      </c>
      <c r="C453" s="7" t="s">
        <v>530</v>
      </c>
      <c r="D453" s="9" t="n">
        <f aca="false">IFERROR(VLOOKUP(TRIM(CLEAN(SUBSTITUTE(A453,_xlfn.UNICHAR(160),""))),GiaCuoc!$A$2:$C$501,3,FALSE()),"Kiểm tra mã")</f>
        <v>35000</v>
      </c>
    </row>
    <row r="454" customFormat="false" ht="15" hidden="false" customHeight="false" outlineLevel="0" collapsed="false">
      <c r="A454" s="7" t="s">
        <v>268</v>
      </c>
      <c r="B454" s="7" t="s">
        <v>534</v>
      </c>
      <c r="C454" s="7" t="s">
        <v>530</v>
      </c>
      <c r="D454" s="9" t="n">
        <f aca="false">IFERROR(VLOOKUP(TRIM(CLEAN(SUBSTITUTE(A454,_xlfn.UNICHAR(160),""))),GiaCuoc!$A$2:$C$501,3,FALSE()),"Kiểm tra mã")</f>
        <v>35000</v>
      </c>
    </row>
    <row r="455" customFormat="false" ht="15" hidden="false" customHeight="false" outlineLevel="0" collapsed="false">
      <c r="A455" s="7" t="s">
        <v>69</v>
      </c>
      <c r="B455" s="7" t="s">
        <v>537</v>
      </c>
      <c r="C455" s="7" t="s">
        <v>529</v>
      </c>
      <c r="D455" s="9" t="n">
        <f aca="false">IFERROR(VLOOKUP(TRIM(CLEAN(SUBSTITUTE(A455,_xlfn.UNICHAR(160),""))),GiaCuoc!$A$2:$C$501,3,FALSE()),"Kiểm tra mã")</f>
        <v>80000</v>
      </c>
    </row>
    <row r="456" customFormat="false" ht="15" hidden="false" customHeight="false" outlineLevel="0" collapsed="false">
      <c r="A456" s="7" t="s">
        <v>185</v>
      </c>
      <c r="B456" s="7" t="s">
        <v>539</v>
      </c>
      <c r="C456" s="7" t="s">
        <v>530</v>
      </c>
      <c r="D456" s="9" t="n">
        <f aca="false">IFERROR(VLOOKUP(TRIM(CLEAN(SUBSTITUTE(A456,_xlfn.UNICHAR(160),""))),GiaCuoc!$A$2:$C$501,3,FALSE()),"Kiểm tra mã")</f>
        <v>80000</v>
      </c>
    </row>
    <row r="457" customFormat="false" ht="15" hidden="false" customHeight="false" outlineLevel="0" collapsed="false">
      <c r="A457" s="7" t="s">
        <v>128</v>
      </c>
      <c r="B457" s="7" t="s">
        <v>540</v>
      </c>
      <c r="C457" s="7" t="s">
        <v>530</v>
      </c>
      <c r="D457" s="9" t="n">
        <f aca="false">IFERROR(VLOOKUP(TRIM(CLEAN(SUBSTITUTE(A457,_xlfn.UNICHAR(160),""))),GiaCuoc!$A$2:$C$501,3,FALSE()),"Kiểm tra mã")</f>
        <v>55000</v>
      </c>
    </row>
    <row r="458" customFormat="false" ht="15" hidden="false" customHeight="false" outlineLevel="0" collapsed="false">
      <c r="A458" s="7" t="s">
        <v>307</v>
      </c>
      <c r="B458" s="7" t="s">
        <v>535</v>
      </c>
      <c r="C458" s="7" t="s">
        <v>536</v>
      </c>
      <c r="D458" s="9" t="n">
        <f aca="false">IFERROR(VLOOKUP(TRIM(CLEAN(SUBSTITUTE(A458,_xlfn.UNICHAR(160),""))),GiaCuoc!$A$2:$C$501,3,FALSE()),"Kiểm tra mã")</f>
        <v>80000</v>
      </c>
    </row>
    <row r="459" customFormat="false" ht="15" hidden="false" customHeight="false" outlineLevel="0" collapsed="false">
      <c r="A459" s="7" t="s">
        <v>86</v>
      </c>
      <c r="B459" s="7" t="s">
        <v>531</v>
      </c>
      <c r="C459" s="7" t="s">
        <v>529</v>
      </c>
      <c r="D459" s="9" t="n">
        <f aca="false">IFERROR(VLOOKUP(TRIM(CLEAN(SUBSTITUTE(A459,_xlfn.UNICHAR(160),""))),GiaCuoc!$A$2:$C$501,3,FALSE()),"Kiểm tra mã")</f>
        <v>35000</v>
      </c>
    </row>
    <row r="460" customFormat="false" ht="15" hidden="false" customHeight="false" outlineLevel="0" collapsed="false">
      <c r="A460" s="7" t="s">
        <v>520</v>
      </c>
      <c r="B460" s="7" t="s">
        <v>538</v>
      </c>
      <c r="C460" s="7" t="s">
        <v>536</v>
      </c>
      <c r="D460" s="9" t="n">
        <f aca="false">IFERROR(VLOOKUP(TRIM(CLEAN(SUBSTITUTE(A460,_xlfn.UNICHAR(160),""))),GiaCuoc!$A$2:$C$501,3,FALSE()),"Kiểm tra mã")</f>
        <v>35000</v>
      </c>
    </row>
    <row r="461" customFormat="false" ht="15" hidden="false" customHeight="false" outlineLevel="0" collapsed="false">
      <c r="A461" s="7" t="s">
        <v>486</v>
      </c>
      <c r="B461" s="7" t="s">
        <v>534</v>
      </c>
      <c r="C461" s="7" t="s">
        <v>529</v>
      </c>
      <c r="D461" s="9" t="n">
        <f aca="false">IFERROR(VLOOKUP(TRIM(CLEAN(SUBSTITUTE(A461,_xlfn.UNICHAR(160),""))),GiaCuoc!$A$2:$C$501,3,FALSE()),"Kiểm tra mã")</f>
        <v>35000</v>
      </c>
    </row>
    <row r="462" customFormat="false" ht="15" hidden="false" customHeight="false" outlineLevel="0" collapsed="false">
      <c r="A462" s="7" t="s">
        <v>264</v>
      </c>
      <c r="B462" s="7" t="s">
        <v>539</v>
      </c>
      <c r="C462" s="7" t="s">
        <v>536</v>
      </c>
      <c r="D462" s="9" t="n">
        <f aca="false">IFERROR(VLOOKUP(TRIM(CLEAN(SUBSTITUTE(A462,_xlfn.UNICHAR(160),""))),GiaCuoc!$A$2:$C$501,3,FALSE()),"Kiểm tra mã")</f>
        <v>25000</v>
      </c>
    </row>
    <row r="463" customFormat="false" ht="15" hidden="false" customHeight="false" outlineLevel="0" collapsed="false">
      <c r="A463" s="7" t="s">
        <v>263</v>
      </c>
      <c r="B463" s="7" t="s">
        <v>537</v>
      </c>
      <c r="C463" s="7" t="s">
        <v>530</v>
      </c>
      <c r="D463" s="9" t="n">
        <f aca="false">IFERROR(VLOOKUP(TRIM(CLEAN(SUBSTITUTE(A463,_xlfn.UNICHAR(160),""))),GiaCuoc!$A$2:$C$501,3,FALSE()),"Kiểm tra mã")</f>
        <v>25000</v>
      </c>
    </row>
    <row r="464" customFormat="false" ht="15" hidden="false" customHeight="false" outlineLevel="0" collapsed="false">
      <c r="A464" s="7" t="s">
        <v>172</v>
      </c>
      <c r="B464" s="7" t="s">
        <v>543</v>
      </c>
      <c r="C464" s="7" t="s">
        <v>529</v>
      </c>
      <c r="D464" s="9" t="n">
        <f aca="false">IFERROR(VLOOKUP(TRIM(CLEAN(SUBSTITUTE(A464,_xlfn.UNICHAR(160),""))),GiaCuoc!$A$2:$C$501,3,FALSE()),"Kiểm tra mã")</f>
        <v>55000</v>
      </c>
    </row>
    <row r="465" customFormat="false" ht="15" hidden="false" customHeight="false" outlineLevel="0" collapsed="false">
      <c r="A465" s="7" t="s">
        <v>290</v>
      </c>
      <c r="B465" s="7" t="s">
        <v>534</v>
      </c>
      <c r="C465" s="7" t="s">
        <v>529</v>
      </c>
      <c r="D465" s="9" t="n">
        <f aca="false">IFERROR(VLOOKUP(TRIM(CLEAN(SUBSTITUTE(A465,_xlfn.UNICHAR(160),""))),GiaCuoc!$A$2:$C$501,3,FALSE()),"Kiểm tra mã")</f>
        <v>35000</v>
      </c>
    </row>
    <row r="466" customFormat="false" ht="15" hidden="false" customHeight="false" outlineLevel="0" collapsed="false">
      <c r="A466" s="7" t="s">
        <v>388</v>
      </c>
      <c r="B466" s="7" t="s">
        <v>543</v>
      </c>
      <c r="C466" s="7" t="s">
        <v>536</v>
      </c>
      <c r="D466" s="9" t="n">
        <f aca="false">IFERROR(VLOOKUP(TRIM(CLEAN(SUBSTITUTE(A466,_xlfn.UNICHAR(160),""))),GiaCuoc!$A$2:$C$501,3,FALSE()),"Kiểm tra mã")</f>
        <v>35000</v>
      </c>
    </row>
    <row r="467" customFormat="false" ht="15" hidden="false" customHeight="false" outlineLevel="0" collapsed="false">
      <c r="A467" s="7" t="s">
        <v>174</v>
      </c>
      <c r="B467" s="7" t="s">
        <v>540</v>
      </c>
      <c r="C467" s="7" t="s">
        <v>529</v>
      </c>
      <c r="D467" s="9" t="n">
        <f aca="false">IFERROR(VLOOKUP(TRIM(CLEAN(SUBSTITUTE(A467,_xlfn.UNICHAR(160),""))),GiaCuoc!$A$2:$C$501,3,FALSE()),"Kiểm tra mã")</f>
        <v>25000</v>
      </c>
    </row>
    <row r="468" customFormat="false" ht="15" hidden="false" customHeight="false" outlineLevel="0" collapsed="false">
      <c r="A468" s="7" t="s">
        <v>276</v>
      </c>
      <c r="B468" s="7" t="s">
        <v>543</v>
      </c>
      <c r="C468" s="7" t="s">
        <v>529</v>
      </c>
      <c r="D468" s="9" t="n">
        <f aca="false">IFERROR(VLOOKUP(TRIM(CLEAN(SUBSTITUTE(A468,_xlfn.UNICHAR(160),""))),GiaCuoc!$A$2:$C$501,3,FALSE()),"Kiểm tra mã")</f>
        <v>55000</v>
      </c>
    </row>
    <row r="469" customFormat="false" ht="15" hidden="false" customHeight="false" outlineLevel="0" collapsed="false">
      <c r="A469" s="7" t="s">
        <v>371</v>
      </c>
      <c r="B469" s="7" t="s">
        <v>539</v>
      </c>
      <c r="C469" s="7" t="s">
        <v>529</v>
      </c>
      <c r="D469" s="9" t="n">
        <f aca="false">IFERROR(VLOOKUP(TRIM(CLEAN(SUBSTITUTE(A469,_xlfn.UNICHAR(160),""))),GiaCuoc!$A$2:$C$501,3,FALSE()),"Kiểm tra mã")</f>
        <v>80000</v>
      </c>
    </row>
    <row r="470" customFormat="false" ht="15" hidden="false" customHeight="false" outlineLevel="0" collapsed="false">
      <c r="A470" s="7" t="s">
        <v>137</v>
      </c>
      <c r="B470" s="7" t="s">
        <v>534</v>
      </c>
      <c r="C470" s="7" t="s">
        <v>536</v>
      </c>
      <c r="D470" s="9" t="n">
        <f aca="false">IFERROR(VLOOKUP(TRIM(CLEAN(SUBSTITUTE(A470,_xlfn.UNICHAR(160),""))),GiaCuoc!$A$2:$C$501,3,FALSE()),"Kiểm tra mã")</f>
        <v>35000</v>
      </c>
    </row>
    <row r="471" customFormat="false" ht="15" hidden="false" customHeight="false" outlineLevel="0" collapsed="false">
      <c r="A471" s="7" t="s">
        <v>507</v>
      </c>
      <c r="B471" s="7" t="s">
        <v>543</v>
      </c>
      <c r="C471" s="7" t="s">
        <v>536</v>
      </c>
      <c r="D471" s="9" t="n">
        <f aca="false">IFERROR(VLOOKUP(TRIM(CLEAN(SUBSTITUTE(A471,_xlfn.UNICHAR(160),""))),GiaCuoc!$A$2:$C$501,3,FALSE()),"Kiểm tra mã")</f>
        <v>25000</v>
      </c>
    </row>
    <row r="472" customFormat="false" ht="15" hidden="false" customHeight="false" outlineLevel="0" collapsed="false">
      <c r="A472" s="7" t="s">
        <v>76</v>
      </c>
      <c r="B472" s="7" t="s">
        <v>534</v>
      </c>
      <c r="C472" s="7" t="s">
        <v>530</v>
      </c>
      <c r="D472" s="9" t="n">
        <f aca="false">IFERROR(VLOOKUP(TRIM(CLEAN(SUBSTITUTE(A472,_xlfn.UNICHAR(160),""))),GiaCuoc!$A$2:$C$501,3,FALSE()),"Kiểm tra mã")</f>
        <v>55000</v>
      </c>
    </row>
    <row r="473" customFormat="false" ht="15" hidden="false" customHeight="false" outlineLevel="0" collapsed="false">
      <c r="A473" s="7" t="s">
        <v>370</v>
      </c>
      <c r="B473" s="7" t="s">
        <v>539</v>
      </c>
      <c r="C473" s="7" t="s">
        <v>530</v>
      </c>
      <c r="D473" s="9" t="n">
        <f aca="false">IFERROR(VLOOKUP(TRIM(CLEAN(SUBSTITUTE(A473,_xlfn.UNICHAR(160),""))),GiaCuoc!$A$2:$C$501,3,FALSE()),"Kiểm tra mã")</f>
        <v>35000</v>
      </c>
    </row>
    <row r="474" customFormat="false" ht="15" hidden="false" customHeight="false" outlineLevel="0" collapsed="false">
      <c r="A474" s="7" t="s">
        <v>163</v>
      </c>
      <c r="B474" s="7" t="s">
        <v>534</v>
      </c>
      <c r="C474" s="7" t="s">
        <v>530</v>
      </c>
      <c r="D474" s="9" t="n">
        <f aca="false">IFERROR(VLOOKUP(TRIM(CLEAN(SUBSTITUTE(A474,_xlfn.UNICHAR(160),""))),GiaCuoc!$A$2:$C$501,3,FALSE()),"Kiểm tra mã")</f>
        <v>80000</v>
      </c>
    </row>
    <row r="475" customFormat="false" ht="15" hidden="false" customHeight="false" outlineLevel="0" collapsed="false">
      <c r="A475" s="7" t="s">
        <v>274</v>
      </c>
      <c r="B475" s="7" t="s">
        <v>534</v>
      </c>
      <c r="C475" s="7" t="s">
        <v>536</v>
      </c>
      <c r="D475" s="9" t="n">
        <f aca="false">IFERROR(VLOOKUP(TRIM(CLEAN(SUBSTITUTE(A475,_xlfn.UNICHAR(160),""))),GiaCuoc!$A$2:$C$501,3,FALSE()),"Kiểm tra mã")</f>
        <v>35000</v>
      </c>
    </row>
    <row r="476" customFormat="false" ht="15" hidden="false" customHeight="false" outlineLevel="0" collapsed="false">
      <c r="A476" s="7" t="s">
        <v>57</v>
      </c>
      <c r="B476" s="7" t="s">
        <v>543</v>
      </c>
      <c r="C476" s="7" t="s">
        <v>530</v>
      </c>
      <c r="D476" s="9" t="n">
        <f aca="false">IFERROR(VLOOKUP(TRIM(CLEAN(SUBSTITUTE(A476,_xlfn.UNICHAR(160),""))),GiaCuoc!$A$2:$C$501,3,FALSE()),"Kiểm tra mã")</f>
        <v>35000</v>
      </c>
    </row>
    <row r="477" customFormat="false" ht="15" hidden="false" customHeight="false" outlineLevel="0" collapsed="false">
      <c r="A477" s="7" t="s">
        <v>272</v>
      </c>
      <c r="B477" s="7" t="s">
        <v>532</v>
      </c>
      <c r="C477" s="7" t="s">
        <v>536</v>
      </c>
      <c r="D477" s="9" t="n">
        <f aca="false">IFERROR(VLOOKUP(TRIM(CLEAN(SUBSTITUTE(A477,_xlfn.UNICHAR(160),""))),GiaCuoc!$A$2:$C$501,3,FALSE()),"Kiểm tra mã")</f>
        <v>35000</v>
      </c>
    </row>
    <row r="478" customFormat="false" ht="15" hidden="false" customHeight="false" outlineLevel="0" collapsed="false">
      <c r="A478" s="7" t="s">
        <v>32</v>
      </c>
      <c r="B478" s="7" t="s">
        <v>538</v>
      </c>
      <c r="C478" s="7" t="s">
        <v>530</v>
      </c>
      <c r="D478" s="9" t="n">
        <f aca="false">IFERROR(VLOOKUP(TRIM(CLEAN(SUBSTITUTE(A478,_xlfn.UNICHAR(160),""))),GiaCuoc!$A$2:$C$501,3,FALSE()),"Kiểm tra mã")</f>
        <v>55000</v>
      </c>
    </row>
    <row r="479" customFormat="false" ht="15" hidden="false" customHeight="false" outlineLevel="0" collapsed="false">
      <c r="A479" s="7" t="s">
        <v>94</v>
      </c>
      <c r="B479" s="7" t="s">
        <v>535</v>
      </c>
      <c r="C479" s="7" t="s">
        <v>536</v>
      </c>
      <c r="D479" s="9" t="n">
        <f aca="false">IFERROR(VLOOKUP(TRIM(CLEAN(SUBSTITUTE(A479,_xlfn.UNICHAR(160),""))),GiaCuoc!$A$2:$C$501,3,FALSE()),"Kiểm tra mã")</f>
        <v>80000</v>
      </c>
    </row>
    <row r="480" customFormat="false" ht="15" hidden="false" customHeight="false" outlineLevel="0" collapsed="false">
      <c r="A480" s="7" t="s">
        <v>316</v>
      </c>
      <c r="B480" s="7" t="s">
        <v>537</v>
      </c>
      <c r="C480" s="7" t="s">
        <v>529</v>
      </c>
      <c r="D480" s="9" t="n">
        <f aca="false">IFERROR(VLOOKUP(TRIM(CLEAN(SUBSTITUTE(A480,_xlfn.UNICHAR(160),""))),GiaCuoc!$A$2:$C$501,3,FALSE()),"Kiểm tra mã")</f>
        <v>80000</v>
      </c>
    </row>
    <row r="481" customFormat="false" ht="15" hidden="false" customHeight="false" outlineLevel="0" collapsed="false">
      <c r="A481" s="7" t="s">
        <v>344</v>
      </c>
      <c r="B481" s="7" t="s">
        <v>537</v>
      </c>
      <c r="C481" s="7" t="s">
        <v>536</v>
      </c>
      <c r="D481" s="9" t="n">
        <f aca="false">IFERROR(VLOOKUP(TRIM(CLEAN(SUBSTITUTE(A481,_xlfn.UNICHAR(160),""))),GiaCuoc!$A$2:$C$501,3,FALSE()),"Kiểm tra mã")</f>
        <v>80000</v>
      </c>
    </row>
    <row r="482" customFormat="false" ht="15" hidden="false" customHeight="false" outlineLevel="0" collapsed="false">
      <c r="A482" s="7" t="s">
        <v>181</v>
      </c>
      <c r="B482" s="7" t="s">
        <v>540</v>
      </c>
      <c r="C482" s="7" t="s">
        <v>529</v>
      </c>
      <c r="D482" s="9" t="n">
        <f aca="false">IFERROR(VLOOKUP(TRIM(CLEAN(SUBSTITUTE(A482,_xlfn.UNICHAR(160),""))),GiaCuoc!$A$2:$C$501,3,FALSE()),"Kiểm tra mã")</f>
        <v>80000</v>
      </c>
    </row>
    <row r="483" customFormat="false" ht="15" hidden="false" customHeight="false" outlineLevel="0" collapsed="false">
      <c r="A483" s="7" t="s">
        <v>380</v>
      </c>
      <c r="B483" s="7" t="s">
        <v>543</v>
      </c>
      <c r="C483" s="7" t="s">
        <v>530</v>
      </c>
      <c r="D483" s="9" t="n">
        <f aca="false">IFERROR(VLOOKUP(TRIM(CLEAN(SUBSTITUTE(A483,_xlfn.UNICHAR(160),""))),GiaCuoc!$A$2:$C$501,3,FALSE()),"Kiểm tra mã")</f>
        <v>35000</v>
      </c>
    </row>
    <row r="484" customFormat="false" ht="15" hidden="false" customHeight="false" outlineLevel="0" collapsed="false">
      <c r="A484" s="7" t="s">
        <v>406</v>
      </c>
      <c r="B484" s="7" t="s">
        <v>540</v>
      </c>
      <c r="C484" s="7" t="s">
        <v>530</v>
      </c>
      <c r="D484" s="9" t="n">
        <f aca="false">IFERROR(VLOOKUP(TRIM(CLEAN(SUBSTITUTE(A484,_xlfn.UNICHAR(160),""))),GiaCuoc!$A$2:$C$501,3,FALSE()),"Kiểm tra mã")</f>
        <v>55000</v>
      </c>
    </row>
    <row r="485" customFormat="false" ht="15" hidden="false" customHeight="false" outlineLevel="0" collapsed="false">
      <c r="A485" s="7" t="s">
        <v>359</v>
      </c>
      <c r="B485" s="7" t="s">
        <v>528</v>
      </c>
      <c r="C485" s="7" t="s">
        <v>529</v>
      </c>
      <c r="D485" s="9" t="n">
        <f aca="false">IFERROR(VLOOKUP(TRIM(CLEAN(SUBSTITUTE(A485,_xlfn.UNICHAR(160),""))),GiaCuoc!$A$2:$C$501,3,FALSE()),"Kiểm tra mã")</f>
        <v>55000</v>
      </c>
    </row>
    <row r="486" customFormat="false" ht="15" hidden="false" customHeight="false" outlineLevel="0" collapsed="false">
      <c r="A486" s="7" t="s">
        <v>156</v>
      </c>
      <c r="B486" s="7" t="s">
        <v>532</v>
      </c>
      <c r="C486" s="7" t="s">
        <v>536</v>
      </c>
      <c r="D486" s="9" t="n">
        <f aca="false">IFERROR(VLOOKUP(TRIM(CLEAN(SUBSTITUTE(A486,_xlfn.UNICHAR(160),""))),GiaCuoc!$A$2:$C$501,3,FALSE()),"Kiểm tra mã")</f>
        <v>25000</v>
      </c>
    </row>
    <row r="487" customFormat="false" ht="15" hidden="false" customHeight="false" outlineLevel="0" collapsed="false">
      <c r="A487" s="7" t="s">
        <v>195</v>
      </c>
      <c r="B487" s="7" t="s">
        <v>540</v>
      </c>
      <c r="C487" s="7" t="s">
        <v>536</v>
      </c>
      <c r="D487" s="9" t="n">
        <f aca="false">IFERROR(VLOOKUP(TRIM(CLEAN(SUBSTITUTE(A487,_xlfn.UNICHAR(160),""))),GiaCuoc!$A$2:$C$501,3,FALSE()),"Kiểm tra mã")</f>
        <v>35000</v>
      </c>
    </row>
    <row r="488" customFormat="false" ht="15" hidden="false" customHeight="false" outlineLevel="0" collapsed="false">
      <c r="A488" s="7" t="s">
        <v>101</v>
      </c>
      <c r="B488" s="7" t="s">
        <v>537</v>
      </c>
      <c r="C488" s="7" t="s">
        <v>536</v>
      </c>
      <c r="D488" s="9" t="n">
        <f aca="false">IFERROR(VLOOKUP(TRIM(CLEAN(SUBSTITUTE(A488,_xlfn.UNICHAR(160),""))),GiaCuoc!$A$2:$C$501,3,FALSE()),"Kiểm tra mã")</f>
        <v>25000</v>
      </c>
    </row>
    <row r="489" customFormat="false" ht="15" hidden="false" customHeight="false" outlineLevel="0" collapsed="false">
      <c r="A489" s="7" t="s">
        <v>333</v>
      </c>
      <c r="B489" s="7" t="s">
        <v>535</v>
      </c>
      <c r="C489" s="7" t="s">
        <v>536</v>
      </c>
      <c r="D489" s="9" t="n">
        <f aca="false">IFERROR(VLOOKUP(TRIM(CLEAN(SUBSTITUTE(A489,_xlfn.UNICHAR(160),""))),GiaCuoc!$A$2:$C$501,3,FALSE()),"Kiểm tra mã")</f>
        <v>55000</v>
      </c>
    </row>
    <row r="490" customFormat="false" ht="15" hidden="false" customHeight="false" outlineLevel="0" collapsed="false">
      <c r="A490" s="7" t="s">
        <v>525</v>
      </c>
      <c r="B490" s="7" t="s">
        <v>531</v>
      </c>
      <c r="C490" s="7" t="s">
        <v>536</v>
      </c>
      <c r="D490" s="9" t="n">
        <f aca="false">IFERROR(VLOOKUP(TRIM(CLEAN(SUBSTITUTE(A490,_xlfn.UNICHAR(160),""))),GiaCuoc!$A$2:$C$501,3,FALSE()),"Kiểm tra mã")</f>
        <v>80000</v>
      </c>
    </row>
    <row r="491" customFormat="false" ht="15" hidden="false" customHeight="false" outlineLevel="0" collapsed="false">
      <c r="A491" s="7" t="s">
        <v>127</v>
      </c>
      <c r="B491" s="7" t="s">
        <v>532</v>
      </c>
      <c r="C491" s="7" t="s">
        <v>536</v>
      </c>
      <c r="D491" s="9" t="n">
        <f aca="false">IFERROR(VLOOKUP(TRIM(CLEAN(SUBSTITUTE(A491,_xlfn.UNICHAR(160),""))),GiaCuoc!$A$2:$C$501,3,FALSE()),"Kiểm tra mã")</f>
        <v>80000</v>
      </c>
    </row>
    <row r="492" customFormat="false" ht="15" hidden="false" customHeight="false" outlineLevel="0" collapsed="false">
      <c r="A492" s="7" t="s">
        <v>355</v>
      </c>
      <c r="B492" s="7" t="s">
        <v>538</v>
      </c>
      <c r="C492" s="7" t="s">
        <v>530</v>
      </c>
      <c r="D492" s="9" t="n">
        <f aca="false">IFERROR(VLOOKUP(TRIM(CLEAN(SUBSTITUTE(A492,_xlfn.UNICHAR(160),""))),GiaCuoc!$A$2:$C$501,3,FALSE()),"Kiểm tra mã")</f>
        <v>80000</v>
      </c>
    </row>
    <row r="493" customFormat="false" ht="15" hidden="false" customHeight="false" outlineLevel="0" collapsed="false">
      <c r="A493" s="7" t="s">
        <v>349</v>
      </c>
      <c r="B493" s="7" t="s">
        <v>540</v>
      </c>
      <c r="C493" s="7" t="s">
        <v>536</v>
      </c>
      <c r="D493" s="9" t="n">
        <f aca="false">IFERROR(VLOOKUP(TRIM(CLEAN(SUBSTITUTE(A493,_xlfn.UNICHAR(160),""))),GiaCuoc!$A$2:$C$501,3,FALSE()),"Kiểm tra mã")</f>
        <v>55000</v>
      </c>
    </row>
    <row r="494" customFormat="false" ht="15" hidden="false" customHeight="false" outlineLevel="0" collapsed="false">
      <c r="A494" s="7" t="s">
        <v>341</v>
      </c>
      <c r="B494" s="7" t="s">
        <v>539</v>
      </c>
      <c r="C494" s="7" t="s">
        <v>536</v>
      </c>
      <c r="D494" s="9" t="n">
        <f aca="false">IFERROR(VLOOKUP(TRIM(CLEAN(SUBSTITUTE(A494,_xlfn.UNICHAR(160),""))),GiaCuoc!$A$2:$C$501,3,FALSE()),"Kiểm tra mã")</f>
        <v>35000</v>
      </c>
    </row>
    <row r="495" customFormat="false" ht="15" hidden="false" customHeight="false" outlineLevel="0" collapsed="false">
      <c r="A495" s="7" t="s">
        <v>49</v>
      </c>
      <c r="B495" s="7" t="s">
        <v>531</v>
      </c>
      <c r="C495" s="7" t="s">
        <v>530</v>
      </c>
      <c r="D495" s="9" t="n">
        <f aca="false">IFERROR(VLOOKUP(TRIM(CLEAN(SUBSTITUTE(A495,_xlfn.UNICHAR(160),""))),GiaCuoc!$A$2:$C$501,3,FALSE()),"Kiểm tra mã")</f>
        <v>35000</v>
      </c>
    </row>
    <row r="496" customFormat="false" ht="15" hidden="false" customHeight="false" outlineLevel="0" collapsed="false">
      <c r="A496" s="7" t="s">
        <v>418</v>
      </c>
      <c r="B496" s="7" t="s">
        <v>531</v>
      </c>
      <c r="C496" s="7" t="s">
        <v>530</v>
      </c>
      <c r="D496" s="9" t="n">
        <f aca="false">IFERROR(VLOOKUP(TRIM(CLEAN(SUBSTITUTE(A496,_xlfn.UNICHAR(160),""))),GiaCuoc!$A$2:$C$501,3,FALSE()),"Kiểm tra mã")</f>
        <v>25000</v>
      </c>
    </row>
    <row r="497" customFormat="false" ht="15" hidden="false" customHeight="false" outlineLevel="0" collapsed="false">
      <c r="A497" s="7" t="s">
        <v>173</v>
      </c>
      <c r="B497" s="7" t="s">
        <v>535</v>
      </c>
      <c r="C497" s="7" t="s">
        <v>530</v>
      </c>
      <c r="D497" s="9" t="n">
        <f aca="false">IFERROR(VLOOKUP(TRIM(CLEAN(SUBSTITUTE(A497,_xlfn.UNICHAR(160),""))),GiaCuoc!$A$2:$C$501,3,FALSE()),"Kiểm tra mã")</f>
        <v>25000</v>
      </c>
    </row>
    <row r="498" customFormat="false" ht="15" hidden="false" customHeight="false" outlineLevel="0" collapsed="false">
      <c r="A498" s="7" t="s">
        <v>376</v>
      </c>
      <c r="B498" s="7" t="s">
        <v>540</v>
      </c>
      <c r="C498" s="7" t="s">
        <v>529</v>
      </c>
      <c r="D498" s="9" t="n">
        <f aca="false">IFERROR(VLOOKUP(TRIM(CLEAN(SUBSTITUTE(A498,_xlfn.UNICHAR(160),""))),GiaCuoc!$A$2:$C$501,3,FALSE()),"Kiểm tra mã")</f>
        <v>55000</v>
      </c>
    </row>
    <row r="499" customFormat="false" ht="15" hidden="false" customHeight="false" outlineLevel="0" collapsed="false">
      <c r="A499" s="7" t="s">
        <v>492</v>
      </c>
      <c r="B499" s="7" t="s">
        <v>531</v>
      </c>
      <c r="C499" s="7" t="s">
        <v>529</v>
      </c>
      <c r="D499" s="9" t="n">
        <f aca="false">IFERROR(VLOOKUP(TRIM(CLEAN(SUBSTITUTE(A499,_xlfn.UNICHAR(160),""))),GiaCuoc!$A$2:$C$501,3,FALSE()),"Kiểm tra mã")</f>
        <v>35000</v>
      </c>
    </row>
    <row r="500" customFormat="false" ht="15" hidden="false" customHeight="false" outlineLevel="0" collapsed="false">
      <c r="A500" s="7" t="s">
        <v>271</v>
      </c>
      <c r="B500" s="7" t="s">
        <v>537</v>
      </c>
      <c r="C500" s="7" t="s">
        <v>536</v>
      </c>
      <c r="D500" s="9" t="n">
        <f aca="false">IFERROR(VLOOKUP(TRIM(CLEAN(SUBSTITUTE(A500,_xlfn.UNICHAR(160),""))),GiaCuoc!$A$2:$C$501,3,FALSE()),"Kiểm tra mã")</f>
        <v>55000</v>
      </c>
    </row>
    <row r="501" customFormat="false" ht="15" hidden="false" customHeight="false" outlineLevel="0" collapsed="false">
      <c r="A501" s="7" t="s">
        <v>65</v>
      </c>
      <c r="B501" s="7" t="s">
        <v>543</v>
      </c>
      <c r="C501" s="7" t="s">
        <v>529</v>
      </c>
      <c r="D501" s="9" t="n">
        <f aca="false">IFERROR(VLOOKUP(TRIM(CLEAN(SUBSTITUTE(A501,_xlfn.UNICHAR(160),""))),GiaCuoc!$A$2:$C$501,3,FALSE()),"Kiểm tra mã")</f>
        <v>80000</v>
      </c>
    </row>
  </sheetData>
  <autoFilter ref="A1:D501"/>
  <conditionalFormatting sqref="D2:D501">
    <cfRule type="cellIs" priority="2" operator="equal" aboveAverage="0" equalAverage="0" bottom="0" percent="0" rank="0" text="" dxfId="5">
      <formula>"Kiểm tra mã"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4" hidden="false" customHeight="true" outlineLevel="0" collapsed="false">
      <c r="A1" s="6" t="s">
        <v>549</v>
      </c>
      <c r="B1" s="6" t="s">
        <v>550</v>
      </c>
      <c r="C1" s="6" t="s">
        <v>551</v>
      </c>
      <c r="D1" s="6" t="s">
        <v>552</v>
      </c>
      <c r="E1" s="6" t="s">
        <v>553</v>
      </c>
      <c r="F1" s="6" t="s">
        <v>554</v>
      </c>
      <c r="G1" s="6" t="s">
        <v>555</v>
      </c>
    </row>
    <row r="2" customFormat="false" ht="15" hidden="false" customHeight="false" outlineLevel="0" collapsed="false">
      <c r="A2" s="7" t="n">
        <v>1</v>
      </c>
      <c r="B2" s="7" t="s">
        <v>556</v>
      </c>
      <c r="C2" s="7" t="s">
        <v>22</v>
      </c>
      <c r="D2" s="10" t="b">
        <f aca="false">ISNA(VLOOKUP(C2,GiaCuoc!$A$2:$C$501,3,FALSE()))</f>
        <v>0</v>
      </c>
      <c r="E2" s="9" t="n">
        <f aca="false">IFERROR(VLOOKUP(TRIM(CLEAN(SUBSTITUTE(C2,_xlfn.UNICHAR(160),""))),GiaCuoc!$A$2:$C$501,3,FALSE()),"Kiểm tra mã")</f>
        <v>55000</v>
      </c>
      <c r="F2" s="9" t="n">
        <v>55000</v>
      </c>
      <c r="G2" s="11" t="str">
        <f aca="false">IF(E2=F2,"ĐẠT","LỖI")</f>
        <v>ĐẠT</v>
      </c>
    </row>
    <row r="3" customFormat="false" ht="15" hidden="false" customHeight="false" outlineLevel="0" collapsed="false">
      <c r="A3" s="7" t="n">
        <v>2</v>
      </c>
      <c r="B3" s="7" t="s">
        <v>557</v>
      </c>
      <c r="C3" s="7" t="s">
        <v>558</v>
      </c>
      <c r="D3" s="10" t="b">
        <f aca="false">ISNA(VLOOKUP(C3,GiaCuoc!$A$2:$C$501,3,FALSE()))</f>
        <v>1</v>
      </c>
      <c r="E3" s="9" t="n">
        <f aca="false">IFERROR(VLOOKUP(TRIM(CLEAN(SUBSTITUTE(C3,_xlfn.UNICHAR(160),""))),GiaCuoc!$A$2:$C$501,3,FALSE()),"Kiểm tra mã")</f>
        <v>55000</v>
      </c>
      <c r="F3" s="9" t="n">
        <v>55000</v>
      </c>
      <c r="G3" s="11" t="str">
        <f aca="false">IF(E3=F3,"ĐẠT","LỖI")</f>
        <v>ĐẠT</v>
      </c>
    </row>
    <row r="4" customFormat="false" ht="15" hidden="false" customHeight="false" outlineLevel="0" collapsed="false">
      <c r="A4" s="7" t="n">
        <v>3</v>
      </c>
      <c r="B4" s="7" t="s">
        <v>559</v>
      </c>
      <c r="C4" s="7" t="s">
        <v>560</v>
      </c>
      <c r="D4" s="10" t="b">
        <f aca="false">ISNA(VLOOKUP(C4,GiaCuoc!$A$2:$C$501,3,FALSE()))</f>
        <v>1</v>
      </c>
      <c r="E4" s="9" t="n">
        <f aca="false">IFERROR(VLOOKUP(TRIM(CLEAN(SUBSTITUTE(C4,_xlfn.UNICHAR(160),""))),GiaCuoc!$A$2:$C$501,3,FALSE()),"Kiểm tra mã")</f>
        <v>55000</v>
      </c>
      <c r="F4" s="9" t="n">
        <v>55000</v>
      </c>
      <c r="G4" s="11" t="str">
        <f aca="false">IF(E4=F4,"ĐẠT","LỖI")</f>
        <v>ĐẠT</v>
      </c>
    </row>
    <row r="5" customFormat="false" ht="15" hidden="false" customHeight="false" outlineLevel="0" collapsed="false">
      <c r="A5" s="7" t="n">
        <v>4</v>
      </c>
      <c r="B5" s="7" t="s">
        <v>561</v>
      </c>
      <c r="C5" s="7" t="s">
        <v>562</v>
      </c>
      <c r="D5" s="10" t="b">
        <f aca="false">ISNA(VLOOKUP(C5,GiaCuoc!$A$2:$C$501,3,FALSE()))</f>
        <v>0</v>
      </c>
      <c r="E5" s="9" t="n">
        <f aca="false">IFERROR(VLOOKUP(TRIM(CLEAN(SUBSTITUTE(C5,_xlfn.UNICHAR(160),""))),GiaCuoc!$A$2:$C$501,3,FALSE()),"Kiểm tra mã")</f>
        <v>55000</v>
      </c>
      <c r="F5" s="9" t="n">
        <v>55000</v>
      </c>
      <c r="G5" s="11" t="str">
        <f aca="false">IF(E5=F5,"ĐẠT","LỖI")</f>
        <v>ĐẠT</v>
      </c>
    </row>
    <row r="6" customFormat="false" ht="15" hidden="false" customHeight="false" outlineLevel="0" collapsed="false">
      <c r="A6" s="7" t="n">
        <v>5</v>
      </c>
      <c r="B6" s="7" t="s">
        <v>563</v>
      </c>
      <c r="C6" s="7" t="s">
        <v>564</v>
      </c>
      <c r="D6" s="10" t="b">
        <f aca="false">ISNA(VLOOKUP(C6,GiaCuoc!$A$2:$C$501,3,FALSE()))</f>
        <v>1</v>
      </c>
      <c r="E6" s="9" t="str">
        <f aca="false">IFERROR(VLOOKUP(TRIM(CLEAN(SUBSTITUTE(C6,_xlfn.UNICHAR(160),""))),GiaCuoc!$A$2:$C$501,3,FALSE()),"Kiểm tra mã")</f>
        <v>Kiểm tra mã</v>
      </c>
      <c r="F6" s="9" t="s">
        <v>565</v>
      </c>
      <c r="G6" s="11" t="str">
        <f aca="false">IF(E6=F6,"ĐẠT","LỖI")</f>
        <v>ĐẠT</v>
      </c>
    </row>
    <row r="7" customFormat="false" ht="15" hidden="false" customHeight="false" outlineLevel="0" collapsed="false">
      <c r="A7" s="7" t="n">
        <v>6</v>
      </c>
      <c r="B7" s="7" t="s">
        <v>566</v>
      </c>
      <c r="C7" s="7"/>
      <c r="D7" s="10" t="b">
        <f aca="false">ISNA(VLOOKUP(C7,GiaCuoc!$A$2:$C$501,3,FALSE()))</f>
        <v>1</v>
      </c>
      <c r="E7" s="9" t="str">
        <f aca="false">IFERROR(VLOOKUP(TRIM(CLEAN(SUBSTITUTE(C7,_xlfn.UNICHAR(160),""))),GiaCuoc!$A$2:$C$501,3,FALSE()),"Kiểm tra mã")</f>
        <v>Kiểm tra mã</v>
      </c>
      <c r="F7" s="9" t="s">
        <v>565</v>
      </c>
      <c r="G7" s="11" t="str">
        <f aca="false">IF(E7=F7,"ĐẠT","LỖI")</f>
        <v>ĐẠT</v>
      </c>
    </row>
    <row r="9" customFormat="false" ht="15" hidden="false" customHeight="false" outlineLevel="0" collapsed="false">
      <c r="A9" s="5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24" hidden="false" customHeight="true" outlineLevel="0" collapsed="false">
      <c r="A1" s="6" t="s">
        <v>568</v>
      </c>
      <c r="B1" s="6" t="s">
        <v>569</v>
      </c>
      <c r="C1" s="6" t="s">
        <v>570</v>
      </c>
      <c r="D1" s="6" t="s">
        <v>555</v>
      </c>
    </row>
    <row r="2" customFormat="false" ht="15" hidden="false" customHeight="false" outlineLevel="0" collapsed="false">
      <c r="A2" s="7" t="s">
        <v>571</v>
      </c>
      <c r="B2" s="7" t="n">
        <v>82</v>
      </c>
      <c r="C2" s="7" t="n">
        <v>90</v>
      </c>
      <c r="D2" s="7" t="str">
        <f aca="false">IF(B2&gt;=C2,"Đạt","Chưa đạt")</f>
        <v>Chưa đạt</v>
      </c>
    </row>
    <row r="3" customFormat="false" ht="15" hidden="false" customHeight="false" outlineLevel="0" collapsed="false">
      <c r="A3" s="7" t="s">
        <v>572</v>
      </c>
      <c r="B3" s="7" t="n">
        <v>84</v>
      </c>
      <c r="C3" s="7" t="n">
        <v>90</v>
      </c>
      <c r="D3" s="7" t="str">
        <f aca="false">IF(B3&gt;=C3,"Đạt","Chưa đạt")</f>
        <v>Chưa đạt</v>
      </c>
    </row>
    <row r="4" customFormat="false" ht="15" hidden="false" customHeight="false" outlineLevel="0" collapsed="false">
      <c r="A4" s="7" t="s">
        <v>573</v>
      </c>
      <c r="B4" s="7" t="n">
        <v>86</v>
      </c>
      <c r="C4" s="7" t="n">
        <v>90</v>
      </c>
      <c r="D4" s="7" t="str">
        <f aca="false">IF(B4&gt;=C4,"Đạt","Chưa đạt")</f>
        <v>Chưa đạt</v>
      </c>
    </row>
    <row r="5" customFormat="false" ht="15" hidden="false" customHeight="false" outlineLevel="0" collapsed="false">
      <c r="A5" s="7" t="s">
        <v>574</v>
      </c>
      <c r="B5" s="7" t="n">
        <v>91</v>
      </c>
      <c r="C5" s="7" t="n">
        <v>90</v>
      </c>
      <c r="D5" s="7" t="str">
        <f aca="false">IF(B5&gt;=C5,"Đạt","Chưa đạt")</f>
        <v>Đạt</v>
      </c>
    </row>
    <row r="6" customFormat="false" ht="15" hidden="false" customHeight="false" outlineLevel="0" collapsed="false">
      <c r="A6" s="7" t="s">
        <v>575</v>
      </c>
      <c r="B6" s="7" t="n">
        <v>93</v>
      </c>
      <c r="C6" s="7" t="n">
        <v>90</v>
      </c>
      <c r="D6" s="7" t="str">
        <f aca="false">IF(B6&gt;=C6,"Đạt","Chưa đạt")</f>
        <v>Đạt</v>
      </c>
    </row>
    <row r="7" customFormat="false" ht="15" hidden="false" customHeight="false" outlineLevel="0" collapsed="false">
      <c r="A7" s="7" t="s">
        <v>576</v>
      </c>
      <c r="B7" s="7" t="n">
        <v>94</v>
      </c>
      <c r="C7" s="7" t="n">
        <v>90</v>
      </c>
      <c r="D7" s="7" t="str">
        <f aca="false">IF(B7&gt;=C7,"Đạt","Chưa đạt")</f>
        <v>Đạt</v>
      </c>
    </row>
    <row r="8" customFormat="false" ht="15" hidden="false" customHeight="false" outlineLevel="0" collapsed="false">
      <c r="A8" s="7" t="s">
        <v>577</v>
      </c>
      <c r="B8" s="7" t="n">
        <v>95</v>
      </c>
      <c r="C8" s="7" t="n">
        <v>90</v>
      </c>
      <c r="D8" s="7" t="str">
        <f aca="false">IF(B8&gt;=C8,"Đạt","Chưa đạt")</f>
        <v>Đạt</v>
      </c>
    </row>
    <row r="9" customFormat="false" ht="15" hidden="false" customHeight="false" outlineLevel="0" collapsed="false">
      <c r="A9" s="7" t="s">
        <v>578</v>
      </c>
      <c r="B9" s="7" t="n">
        <v>96</v>
      </c>
      <c r="C9" s="7" t="n">
        <v>90</v>
      </c>
      <c r="D9" s="7" t="str">
        <f aca="false">IF(B9&gt;=C9,"Đạt","Chưa đạt")</f>
        <v>Đạt</v>
      </c>
    </row>
    <row r="11" customFormat="false" ht="15" hidden="false" customHeight="false" outlineLevel="0" collapsed="false">
      <c r="A11" s="5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2026-10-26T11:13:28Z</dcterms:created>
  <dc:creator>openpyxl</dc:creator>
  <dc:description/>
  <dc:language>en-US</dc:language>
  <cp:lastModifiedBy/>
  <dcterms:modified xsi:type="dcterms:W3CDTF">2026-10-26T11:13:30Z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